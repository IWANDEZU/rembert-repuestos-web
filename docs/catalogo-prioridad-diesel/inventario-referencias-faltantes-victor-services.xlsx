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c1eb41550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4ec2d09bdc34bf4"/>
    <x:sheet xmlns:r="http://schemas.openxmlformats.org/officeDocument/2006/relationships" name="Referencias" sheetId="2" r:id="R25f99521cf0a4731"/>
    <x:sheet xmlns:r="http://schemas.openxmlformats.org/officeDocument/2006/relationships" name="Precios" sheetId="3" r:id="Rcdfe08b33af04b4e"/>
    <x:sheet xmlns:r="http://schemas.openxmlformats.org/officeDocument/2006/relationships" name="Brechas" sheetId="4" r:id="R795006082e164ecf"/>
    <x:sheet xmlns:r="http://schemas.openxmlformats.org/officeDocument/2006/relationships" name="Fuentes" sheetId="5" r:id="R8b798589c45e40e2"/>
    <x:sheet xmlns:r="http://schemas.openxmlformats.org/officeDocument/2006/relationships" name="Metadata" sheetId="6" r:id="Rdd68874df372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2606D"/>
      <x:name val="Carlito"/>
    </x:font>
    <x:font>
      <x:b/>
      <x:sz val="11"/>
      <x:color rgb="FFFFFFFF"/>
      <x:name val="Carlito"/>
    </x:font>
    <x:font>
      <x:b/>
      <x:sz val="11"/>
      <x:color rgb="FF7A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4F8"/>
      </x:patternFill>
    </x:fill>
    <x:fill>
      <x:patternFill patternType="solid">
        <x:fgColor rgb="FFFFF3CD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029cf22624abe" /><Relationship Type="http://schemas.openxmlformats.org/officeDocument/2006/relationships/theme" Target="/xl/theme/theme1.xml" Id="R7871dd12d00545ca" /><Relationship Type="http://schemas.openxmlformats.org/officeDocument/2006/relationships/sharedStrings" Target="/xl/sharedStrings.xml" Id="R90ef668cc8a242c5" /><Relationship Type="http://schemas.openxmlformats.org/officeDocument/2006/relationships/worksheet" Target="/xl/worksheets/sheet1.xml" Id="R24ec2d09bdc34bf4" /><Relationship Type="http://schemas.openxmlformats.org/officeDocument/2006/relationships/worksheet" Target="/xl/worksheets/sheet2.xml" Id="R25f99521cf0a4731" /><Relationship Type="http://schemas.openxmlformats.org/officeDocument/2006/relationships/worksheet" Target="/xl/worksheets/sheet3.xml" Id="Rcdfe08b33af04b4e" /><Relationship Type="http://schemas.openxmlformats.org/officeDocument/2006/relationships/worksheet" Target="/xl/worksheets/sheet4.xml" Id="R795006082e164ecf" /><Relationship Type="http://schemas.openxmlformats.org/officeDocument/2006/relationships/worksheet" Target="/xl/worksheets/sheet5.xml" Id="R8b798589c45e40e2" /><Relationship Type="http://schemas.openxmlformats.org/officeDocument/2006/relationships/worksheet" Target="/xl/worksheets/sheet6.xml" Id="Rdd68874df37246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f6b033e88e48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de la fase inicial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'Resumen'!$A$13:$A$15</c:f>
              <c:strCache>
                <c:ptCount val="0"/>
              </c:strCache>
            </c:strRef>
          </c:cat>
          <c:val>
            <c:numRef>
              <c:f>'Resumen'!$B$13:$B$15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f6b033e88e48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ferenciasTable" displayName="ReferenciasTable" ref="A4:R19" headerRowCount="1" totalsRowCount="0" totalsRowShown="0">
  <x:tableColumns count="18">
    <x:tableColumn id="1" name="Referencia"/>
    <x:tableColumn id="2" name="Producto"/>
    <x:tableColumn id="3" name="Categoría"/>
    <x:tableColumn id="4" name="Marca"/>
    <x:tableColumn id="5" name="Aplicación"/>
    <x:tableColumn id="6" name="Motor"/>
    <x:tableColumn id="7" name="Posición"/>
    <x:tableColumn id="8" name="Ficha técnica"/>
    <x:tableColumn id="9" name="OE / Cruces"/>
    <x:tableColumn id="10" name="Precio COP"/>
    <x:tableColumn id="11" name="Tipo precio"/>
    <x:tableColumn id="12" name="Estado referencia"/>
    <x:tableColumn id="13" name="Foto"/>
    <x:tableColumn id="14" name="Ruta web"/>
    <x:tableColumn id="15" name="Fuente técnica"/>
    <x:tableColumn id="16" name="Fuente imagen"/>
    <x:tableColumn id="17" name="Confianza"/>
    <x:tableColumn id="18" name="Nota de compatibil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ciosTable" displayName="PreciosTable" ref="A4:I19" headerRowCount="1" totalsRowCount="0" totalsRowShown="0">
  <x:tableColumns count="9">
    <x:tableColumn id="1" name="Referencia"/>
    <x:tableColumn id="2" name="Categoría"/>
    <x:tableColumn id="3" name="Mercado bajo COP"/>
    <x:tableColumn id="4" name="Mercado alto COP"/>
    <x:tableColumn id="5" name="Precio sugerido COP"/>
    <x:tableColumn id="6" name="Posición en banda"/>
    <x:tableColumn id="7" name="Tipo de comparación"/>
    <x:tableColumn id="8" name="Fuente / base"/>
    <x:tableColumn id="9" name="Advertenci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rechasTable" displayName="BrechasTable" ref="A4:H12" headerRowCount="1" totalsRowCount="0" totalsRowShown="0">
  <x:tableColumns count="8">
    <x:tableColumn id="1" name="Prioridad"/>
    <x:tableColumn id="2" name="Vehículo / familia"/>
    <x:tableColumn id="3" name="Filtros"/>
    <x:tableColumn id="4" name="Suspensión"/>
    <x:tableColumn id="5" name="Estado"/>
    <x:tableColumn id="6" name="Siguiente acción"/>
    <x:tableColumn id="7" name="Riesgo de compatibilidad"/>
    <x:tableColumn id="8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62534020124c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0363f2109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2350a10ed242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21e1da642144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20.25" hidden="0" customWidth="1"/>
    <x:col min="4" max="4" width="120.25" hidden="0" customWidth="1"/>
    <x:col min="5" max="5" width="120.25" hidden="0" customWidth="1"/>
    <x:col min="6" max="6" width="120.25" hidden="0" customWidth="1"/>
    <x:col min="7" max="7" width="120.25" hidden="0" customWidth="1"/>
    <x:col min="8" max="8" width="120.25" hidden="0" customWidth="1"/>
  </x:cols>
  <x:sheetData>
    <x:row r="1" ht="32" customHeight="1">
      <x:c r="A1" s="3" t="str">
        <x:v>Victor Services | Brechas prioritarias diésel</x:v>
      </x:c>
      <x:c r="B1" s="3" t="str">
        <x:v>Victor Services | Brechas prioritarias diésel</x:v>
      </x:c>
      <x:c r="C1" s="3" t="str">
        <x:v>Victor Services | Brechas prioritarias diésel</x:v>
      </x:c>
      <x:c r="D1" s="3" t="str">
        <x:v>Victor Services | Brechas prioritarias diésel</x:v>
      </x:c>
      <x:c r="E1" s="3" t="str">
        <x:v>Victor Services | Brechas prioritarias diésel</x:v>
      </x:c>
      <x:c r="F1" s="3" t="str">
        <x:v>Victor Services | Brechas prioritarias diésel</x:v>
      </x:c>
      <x:c r="G1" s="3" t="str">
        <x:v>Victor Services | Brechas prioritarias diésel</x:v>
      </x:c>
      <x:c r="H1" s="3" t="str">
        <x:v>Victor Services | Brechas prioritarias diésel</x:v>
      </x:c>
    </x:row>
    <x:row r="2" ht="30" customHeight="1">
      <x:c r="A2" s="6" t="str">
        <x:v>Fase inicial basada en referencias ausentes del catálogo local. Compatibilidad y venta siempre sujetas a confirmación por VIN, motor, año y tracción.</x:v>
      </x:c>
      <x:c r="B2" s="6" t="str">
        <x:v>Fase inicial basada en referencias ausentes del catálogo local. Compatibilidad y venta siempre sujetas a confirmación por VIN, motor, año y tracción.</x:v>
      </x:c>
      <x:c r="C2" s="6" t="str">
        <x:v>Fase inicial basada en referencias ausentes del catálogo local. Compatibilidad y venta siempre sujetas a confirmación por VIN, motor, año y tracción.</x:v>
      </x:c>
      <x:c r="D2" s="6" t="str">
        <x:v>Fase inicial basada en referencias ausentes del catálogo local. Compatibilidad y venta siempre sujetas a confirmación por VIN, motor, año y tracción.</x:v>
      </x:c>
      <x:c r="E2" s="6" t="str">
        <x:v>Fase inicial basada en referencias ausentes del catálogo local. Compatibilidad y venta siempre sujetas a confirmación por VIN, motor, año y tracción.</x:v>
      </x:c>
      <x:c r="F2" s="6" t="str">
        <x:v>Fase inicial basada en referencias ausentes del catálogo local. Compatibilidad y venta siempre sujetas a confirmación por VIN, motor, año y tracción.</x:v>
      </x:c>
      <x:c r="G2" s="6" t="str">
        <x:v>Fase inicial basada en referencias ausentes del catálogo local. Compatibilidad y venta siempre sujetas a confirmación por VIN, motor, año y tracción.</x:v>
      </x:c>
      <x:c r="H2" s="6" t="str">
        <x:v>Fase inicial basada en referencias ausentes del catálogo local. Compatibilidad y venta siempre sujetas a confirmación por VIN, motor, año y tracción.</x:v>
      </x:c>
    </x:row>
    <x:row r="4">
      <x:c r="A4" s="14" t="str">
        <x:v>Indicador</x:v>
      </x:c>
      <x:c r="B4" s="14" t="str">
        <x:v>Resultado</x:v>
      </x:c>
    </x:row>
    <x:row r="5">
      <x:c r="A5" s="15" t="str">
        <x:v>Referencias priorizadas</x:v>
      </x:c>
      <x:c r="B5" s="15" t="n">
        <x:f>COUNTA(Referencias!A5:A19)</x:f>
        <x:v>15</x:v>
      </x:c>
    </x:row>
    <x:row r="6">
      <x:c r="A6" s="15" t="str">
        <x:v>Fotos exactas listas</x:v>
      </x:c>
      <x:c r="B6" s="15" t="n">
        <x:f>COUNTIF(Referencias!M5:M19,"Lista")</x:f>
        <x:v>11</x:v>
      </x:c>
    </x:row>
    <x:row r="7">
      <x:c r="A7" s="15" t="str">
        <x:v>Fotos exactas pendientes</x:v>
      </x:c>
      <x:c r="B7" s="15" t="n">
        <x:f>COUNTIF(Referencias!M5:M19,"Pendiente")</x:f>
        <x:v>4</x:v>
      </x:c>
    </x:row>
    <x:row r="8">
      <x:c r="A8" s="15" t="str">
        <x:v>Filtros</x:v>
      </x:c>
      <x:c r="B8" s="15" t="n">
        <x:f>COUNTIF(Referencias!C5:C19,"Filtros")</x:f>
        <x:v>8</x:v>
      </x:c>
    </x:row>
    <x:row r="9">
      <x:c r="A9" s="15" t="str">
        <x:v>Suspensión</x:v>
      </x:c>
      <x:c r="B9" s="15" t="n">
        <x:f>COUNTIF(Referencias!C5:C19,"Suspensión")</x:f>
        <x:v>7</x:v>
      </x:c>
    </x:row>
    <x:row r="10">
      <x:c r="A10" s="15" t="str">
        <x:v>Valor total sugerido (1 unidad c/u)</x:v>
      </x:c>
      <x:c r="B10" s="16" t="n">
        <x:f>SUM(Referencias!J5:J19)</x:f>
        <x:v>2788500</x:v>
      </x:c>
    </x:row>
    <x:row r="12">
      <x:c r="A12" s="14" t="str">
        <x:v>Categoría</x:v>
      </x:c>
      <x:c r="B12" s="14" t="str">
        <x:v>Cantidad</x:v>
      </x:c>
    </x:row>
    <x:row r="13">
      <x:c r="A13" s="15" t="str">
        <x:v>Filtros</x:v>
      </x:c>
      <x:c r="B13" s="15" t="n">
        <x:f>B8</x:f>
        <x:v>8</x:v>
      </x:c>
    </x:row>
    <x:row r="14">
      <x:c r="A14" s="15" t="str">
        <x:v>Suspensión</x:v>
      </x:c>
      <x:c r="B14" s="15" t="n">
        <x:f>B9</x:f>
        <x:v>7</x:v>
      </x:c>
    </x:row>
    <x:row r="15">
      <x:c r="A15" s="15" t="str">
        <x:v>Fotos pendientes</x:v>
      </x:c>
      <x:c r="B15" s="15" t="n">
        <x:f>B7</x:f>
        <x:v>4</x:v>
      </x:c>
    </x:row>
    <x:row r="17" ht="42" customHeight="1">
      <x:c r="A17" s="13" t="str">
        <x:v>Decisión comercial: los precios son sugeridos para web, no cotizaciones. Antes de activar compra se deben validar costo, IVA, inventario, margen y transporte.</x:v>
      </x:c>
      <x:c r="B17" s="13" t="str">
        <x:v>Decisión comercial: los precios son sugeridos para web, no cotizaciones. Antes de activar compra se deben validar costo, IVA, inventario, margen y transporte.</x:v>
      </x:c>
      <x:c r="C17" s="13" t="str">
        <x:v>Decisión comercial: los precios son sugeridos para web, no cotizaciones. Antes de activar compra se deben validar costo, IVA, inventario, margen y transporte.</x:v>
      </x:c>
      <x:c r="D17" s="13" t="str">
        <x:v>Decisión comercial: los precios son sugeridos para web, no cotizaciones. Antes de activar compra se deben validar costo, IVA, inventario, margen y transporte.</x:v>
      </x:c>
      <x:c r="E17" s="13" t="str">
        <x:v>Decisión comercial: los precios son sugeridos para web, no cotizaciones. Antes de activar compra se deben validar costo, IVA, inventario, margen y transporte.</x:v>
      </x:c>
      <x:c r="F17" s="13" t="str">
        <x:v>Decisión comercial: los precios son sugeridos para web, no cotizaciones. Antes de activar compra se deben validar costo, IVA, inventario, margen y transporte.</x:v>
      </x:c>
      <x:c r="G17" s="13" t="str">
        <x:v>Decisión comercial: los precios son sugeridos para web, no cotizaciones. Antes de activar compra se deben validar costo, IVA, inventario, margen y transporte.</x:v>
      </x:c>
      <x:c r="H17" s="13" t="str">
        <x:v>Decisión comercial: los precios son sugeridos para web, no cotizaciones. Antes de activar compra se deben validar costo, IVA, inventario, margen y transporte.</x:v>
      </x:c>
    </x:row>
  </x:sheetData>
  <x:mergeCells>
    <x:mergeCell ref="A1:H1"/>
    <x:mergeCell ref="A2:H2"/>
    <x:mergeCell ref="A17:H17"/>
  </x:mergeCells>
  <x:pageMargins left="0.7" right="0.7" top="0.75" bottom="0.75" header="0.3" footer="0.3"/>
  <x:drawing xmlns:r="http://schemas.openxmlformats.org/officeDocument/2006/relationships" r:id="R1a62534020124c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  <x:col min="6" max="6" width="101" hidden="0" customWidth="1"/>
    <x:col min="7" max="7" width="101" hidden="0" customWidth="1"/>
    <x:col min="8" max="8" width="32" hidden="0" customWidth="1"/>
    <x:col min="9" max="9" width="3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2" hidden="0" customWidth="1"/>
    <x:col min="15" max="15" width="32" hidden="0" customWidth="1"/>
    <x:col min="16" max="16" width="32" hidden="0" customWidth="1"/>
    <x:col min="17" max="17" width="101" hidden="0" customWidth="1"/>
    <x:col min="18" max="18" width="32" hidden="0" customWidth="1"/>
  </x:cols>
  <x:sheetData>
    <x:row r="1" ht="32" customHeight="1">
      <x:c r="A1" s="3" t="str">
        <x:v>Referencias faltantes priorizadas</x:v>
      </x:c>
      <x:c r="B1" s="3" t="str">
        <x:v>Referencias faltantes priorizadas</x:v>
      </x:c>
      <x:c r="C1" s="3" t="str">
        <x:v>Referencias faltantes priorizadas</x:v>
      </x:c>
      <x:c r="D1" s="3" t="str">
        <x:v>Referencias faltantes priorizadas</x:v>
      </x:c>
      <x:c r="E1" s="3" t="str">
        <x:v>Referencias faltantes priorizadas</x:v>
      </x:c>
      <x:c r="F1" s="3" t="str">
        <x:v>Referencias faltantes priorizadas</x:v>
      </x:c>
      <x:c r="G1" s="3" t="str">
        <x:v>Referencias faltantes priorizadas</x:v>
      </x:c>
      <x:c r="H1" s="3" t="str">
        <x:v>Referencias faltantes priorizadas</x:v>
      </x:c>
      <x:c r="I1" s="3" t="str">
        <x:v>Referencias faltantes priorizadas</x:v>
      </x:c>
      <x:c r="J1" s="3" t="str">
        <x:v>Referencias faltantes priorizadas</x:v>
      </x:c>
      <x:c r="K1" s="3" t="str">
        <x:v>Referencias faltantes priorizadas</x:v>
      </x:c>
      <x:c r="L1" s="3" t="str">
        <x:v>Referencias faltantes priorizadas</x:v>
      </x:c>
      <x:c r="M1" s="3" t="str">
        <x:v>Referencias faltantes priorizadas</x:v>
      </x:c>
      <x:c r="N1" s="3" t="str">
        <x:v>Referencias faltantes priorizadas</x:v>
      </x:c>
      <x:c r="O1" s="3" t="str">
        <x:v>Referencias faltantes priorizadas</x:v>
      </x:c>
      <x:c r="P1" s="3" t="str">
        <x:v>Referencias faltantes priorizadas</x:v>
      </x:c>
      <x:c r="Q1" s="3" t="str">
        <x:v>Referencias faltantes priorizadas</x:v>
      </x:c>
      <x:c r="R1" s="3" t="str">
        <x:v>Referencias faltantes priorizadas</x:v>
      </x:c>
    </x:row>
    <x:row r="2" ht="30" customHeight="1">
      <x:c r="A2" s="6" t="str">
        <x:v>15 referencias confirmadas en fuentes de fabricante. Las rutas de imagen y metadata están preparadas para integración automatizada.</x:v>
      </x:c>
      <x:c r="B2" s="6" t="str">
        <x:v>15 referencias confirmadas en fuentes de fabricante. Las rutas de imagen y metadata están preparadas para integración automatizada.</x:v>
      </x:c>
      <x:c r="C2" s="6" t="str">
        <x:v>15 referencias confirmadas en fuentes de fabricante. Las rutas de imagen y metadata están preparadas para integración automatizada.</x:v>
      </x:c>
      <x:c r="D2" s="6" t="str">
        <x:v>15 referencias confirmadas en fuentes de fabricante. Las rutas de imagen y metadata están preparadas para integración automatizada.</x:v>
      </x:c>
      <x:c r="E2" s="6" t="str">
        <x:v>15 referencias confirmadas en fuentes de fabricante. Las rutas de imagen y metadata están preparadas para integración automatizada.</x:v>
      </x:c>
      <x:c r="F2" s="6" t="str">
        <x:v>15 referencias confirmadas en fuentes de fabricante. Las rutas de imagen y metadata están preparadas para integración automatizada.</x:v>
      </x:c>
      <x:c r="G2" s="6" t="str">
        <x:v>15 referencias confirmadas en fuentes de fabricante. Las rutas de imagen y metadata están preparadas para integración automatizada.</x:v>
      </x:c>
      <x:c r="H2" s="6" t="str">
        <x:v>15 referencias confirmadas en fuentes de fabricante. Las rutas de imagen y metadata están preparadas para integración automatizada.</x:v>
      </x:c>
      <x:c r="I2" s="6" t="str">
        <x:v>15 referencias confirmadas en fuentes de fabricante. Las rutas de imagen y metadata están preparadas para integración automatizada.</x:v>
      </x:c>
      <x:c r="J2" s="6" t="str">
        <x:v>15 referencias confirmadas en fuentes de fabricante. Las rutas de imagen y metadata están preparadas para integración automatizada.</x:v>
      </x:c>
      <x:c r="K2" s="6" t="str">
        <x:v>15 referencias confirmadas en fuentes de fabricante. Las rutas de imagen y metadata están preparadas para integración automatizada.</x:v>
      </x:c>
      <x:c r="L2" s="6" t="str">
        <x:v>15 referencias confirmadas en fuentes de fabricante. Las rutas de imagen y metadata están preparadas para integración automatizada.</x:v>
      </x:c>
      <x:c r="M2" s="6" t="str">
        <x:v>15 referencias confirmadas en fuentes de fabricante. Las rutas de imagen y metadata están preparadas para integración automatizada.</x:v>
      </x:c>
      <x:c r="N2" s="6" t="str">
        <x:v>15 referencias confirmadas en fuentes de fabricante. Las rutas de imagen y metadata están preparadas para integración automatizada.</x:v>
      </x:c>
      <x:c r="O2" s="6" t="str">
        <x:v>15 referencias confirmadas en fuentes de fabricante. Las rutas de imagen y metadata están preparadas para integración automatizada.</x:v>
      </x:c>
      <x:c r="P2" s="6" t="str">
        <x:v>15 referencias confirmadas en fuentes de fabricante. Las rutas de imagen y metadata están preparadas para integración automatizada.</x:v>
      </x:c>
      <x:c r="Q2" s="6" t="str">
        <x:v>15 referencias confirmadas en fuentes de fabricante. Las rutas de imagen y metadata están preparadas para integración automatizada.</x:v>
      </x:c>
      <x:c r="R2" s="6" t="str">
        <x:v>15 referencias confirmadas en fuentes de fabricante. Las rutas de imagen y metadata están preparadas para integración automatizada.</x:v>
      </x:c>
    </x:row>
    <x:row r="4">
      <x:c r="A4" s="17" t="str">
        <x:v>Referencia</x:v>
      </x:c>
      <x:c r="B4" s="17" t="str">
        <x:v>Producto</x:v>
      </x:c>
      <x:c r="C4" s="17" t="str">
        <x:v>Categoría</x:v>
      </x:c>
      <x:c r="D4" s="17" t="str">
        <x:v>Marca</x:v>
      </x:c>
      <x:c r="E4" s="17" t="str">
        <x:v>Aplicación</x:v>
      </x:c>
      <x:c r="F4" s="17" t="str">
        <x:v>Motor</x:v>
      </x:c>
      <x:c r="G4" s="17" t="str">
        <x:v>Posición</x:v>
      </x:c>
      <x:c r="H4" s="17" t="str">
        <x:v>Ficha técnica</x:v>
      </x:c>
      <x:c r="I4" s="17" t="str">
        <x:v>OE / Cruces</x:v>
      </x:c>
      <x:c r="J4" s="17" t="str">
        <x:v>Precio COP</x:v>
      </x:c>
      <x:c r="K4" s="17" t="str">
        <x:v>Tipo precio</x:v>
      </x:c>
      <x:c r="L4" s="17" t="str">
        <x:v>Estado referencia</x:v>
      </x:c>
      <x:c r="M4" s="17" t="str">
        <x:v>Foto</x:v>
      </x:c>
      <x:c r="N4" s="17" t="str">
        <x:v>Ruta web</x:v>
      </x:c>
      <x:c r="O4" s="17" t="str">
        <x:v>Fuente técnica</x:v>
      </x:c>
      <x:c r="P4" s="17" t="str">
        <x:v>Fuente imagen</x:v>
      </x:c>
      <x:c r="Q4" s="17" t="str">
        <x:v>Confianza</x:v>
      </x:c>
      <x:c r="R4" s="17" t="str">
        <x:v>Nota de compatibilidad</x:v>
      </x:c>
    </x:row>
    <x:row r="5">
      <x:c r="A5" s="22" t="str">
        <x:v>W 712/83</x:v>
      </x:c>
      <x:c r="B5" s="22" t="str">
        <x:v>Filtro de aceite</x:v>
      </x:c>
      <x:c r="C5" s="22" t="str">
        <x:v>Filtros</x:v>
      </x:c>
      <x:c r="D5" s="22" t="str">
        <x:v>MANN-FILTER</x:v>
      </x:c>
      <x:c r="E5" s="22" t="str">
        <x:v>Toyota Hilux / Fortuner 2.8 diésel 1GD-FTV (2015+)</x:v>
      </x:c>
      <x:c r="F5" s="22" t="str">
        <x:v>1GD-FTV</x:v>
      </x:c>
      <x:c r="G5" s="22" t="str">
        <x:v>Motor</x:v>
      </x:c>
      <x:c r="H5" s="22" t="str">
        <x:v>diametro_exterior_mm: 76 | altura_mm: 79 | rosca: 3/4-16 UNF | valvula_bypass: true | valvula_antirretorno: true</x:v>
      </x:c>
      <x:c r="I5" s="22" t="str">
        <x:v>Toyota 90915-YZZD2 | Toyota 90915-YZZD4</x:v>
      </x:c>
      <x:c r="J5" s="23" t="n">
        <x:v>119900</x:v>
      </x:c>
      <x:c r="K5" s="22" t="str">
        <x:v>Sugerido web</x:v>
      </x:c>
      <x:c r="L5" s="22" t="str">
        <x:v>Confirmada</x:v>
      </x:c>
      <x:c r="M5" s="22" t="str">
        <x:v>Lista</x:v>
      </x:c>
      <x:c r="N5" s="22" t="str">
        <x:v>/catalogo-prioridad-diesel/filtros--mann-filter--w-712-83--toyota-hilux-fortuner-2-8-diesel-1gd-ftv.jpg</x:v>
      </x:c>
      <x:c r="O5" s="22" t="str">
        <x:v>https://www.mann-filter.com/en/catalog/search-results/product.html/w712/83_mann-filter.html</x:v>
      </x:c>
      <x:c r="P5" s="22" t="str">
        <x:v>https://s7g10.scene7.com/is/image/mannhummel/W_712.83-filter-with-box</x:v>
      </x:c>
      <x:c r="Q5" s="22" t="str">
        <x:v>Alta</x:v>
      </x:c>
      <x:c r="R5" s="22" t="str">
        <x:v>Confirmar por VIN, motor, tracción y año antes de vender o instalar.</x:v>
      </x:c>
    </x:row>
    <x:row r="6">
      <x:c r="A6" s="22" t="str">
        <x:v>C 33 017</x:v>
      </x:c>
      <x:c r="B6" s="22" t="str">
        <x:v>Filtro de aire</x:v>
      </x:c>
      <x:c r="C6" s="22" t="str">
        <x:v>Filtros</x:v>
      </x:c>
      <x:c r="D6" s="22" t="str">
        <x:v>MANN-FILTER</x:v>
      </x:c>
      <x:c r="E6" s="22" t="str">
        <x:v>Toyota Hilux / Fortuner 2.8 diésel 1GD-FTV (2015+)</x:v>
      </x:c>
      <x:c r="F6" s="22" t="str">
        <x:v>1GD-FTV</x:v>
      </x:c>
      <x:c r="G6" s="22" t="str">
        <x:v>Admisión</x:v>
      </x:c>
      <x:c r="H6" s="22" t="str">
        <x:v>largo_mm: 323 | ancho_mm: 240 | alto_mm: 58</x:v>
      </x:c>
      <x:c r="I6" s="22" t="str">
        <x:v>Toyota 17801-0L040 | Toyota 17801-0L050</x:v>
      </x:c>
      <x:c r="J6" s="23" t="n">
        <x:v>149900</x:v>
      </x:c>
      <x:c r="K6" s="22" t="str">
        <x:v>Sugerido web</x:v>
      </x:c>
      <x:c r="L6" s="22" t="str">
        <x:v>Confirmada</x:v>
      </x:c>
      <x:c r="M6" s="22" t="str">
        <x:v>Lista</x:v>
      </x:c>
      <x:c r="N6" s="22" t="str">
        <x:v>/catalogo-prioridad-diesel/filtros--mann-filter--c-33-017--toyota-hilux-fortuner-2-8-diesel-1gd-ftv.jpg</x:v>
      </x:c>
      <x:c r="O6" s="22" t="str">
        <x:v>https://www.mann-filter.com/us-es/catalogo/resultados-de-la-busqueda/producto.html/c33017_mann-filter.html</x:v>
      </x:c>
      <x:c r="P6" s="22" t="str">
        <x:v>https://s7g10.scene7.com/is/image/mannhummel/C_33_017</x:v>
      </x:c>
      <x:c r="Q6" s="22" t="str">
        <x:v>Alta</x:v>
      </x:c>
      <x:c r="R6" s="22" t="str">
        <x:v>Confirmar por VIN, motor, tracción y año antes de vender o instalar.</x:v>
      </x:c>
    </x:row>
    <x:row r="7">
      <x:c r="A7" s="22" t="str">
        <x:v>PU 9023 z</x:v>
      </x:c>
      <x:c r="B7" s="22" t="str">
        <x:v>Filtro de combustible diésel</x:v>
      </x:c>
      <x:c r="C7" s="22" t="str">
        <x:v>Filtros</x:v>
      </x:c>
      <x:c r="D7" s="22" t="str">
        <x:v>MANN-FILTER</x:v>
      </x:c>
      <x:c r="E7" s="22" t="str">
        <x:v>Toyota Hilux / Fortuner 2.8 diésel 1GD-FTV (2015+)</x:v>
      </x:c>
      <x:c r="F7" s="22" t="str">
        <x:v>1GD-FTV</x:v>
      </x:c>
      <x:c r="G7" s="22" t="str">
        <x:v>Combustible</x:v>
      </x:c>
      <x:c r="H7" s="22" t="str">
        <x:v>diametro_exterior_mm: 90 | diametro_interior_mm: 24.7 | altura_mm: 106.7</x:v>
      </x:c>
      <x:c r="I7" s="22" t="str">
        <x:v>Toyota 23390-0L041</x:v>
      </x:c>
      <x:c r="J7" s="23" t="n">
        <x:v>239900</x:v>
      </x:c>
      <x:c r="K7" s="22" t="str">
        <x:v>Sugerido web</x:v>
      </x:c>
      <x:c r="L7" s="22" t="str">
        <x:v>Confirmada</x:v>
      </x:c>
      <x:c r="M7" s="22" t="str">
        <x:v>Lista</x:v>
      </x:c>
      <x:c r="N7" s="22" t="str">
        <x:v>/catalogo-prioridad-diesel/filtros--mann-filter--pu-9023-z--toyota-hilux-fortuner-2-8-diesel-1gd-ftv.jpg</x:v>
      </x:c>
      <x:c r="O7" s="22" t="str">
        <x:v>https://www.mann-filter.com/br-pt/catalogo/resultados-da-pesquisa/produto.html/pu9023z_mann-filter.html</x:v>
      </x:c>
      <x:c r="P7" s="22" t="str">
        <x:v>https://s7g10.scene7.com/is/image/mannhummel/PU_9023_z</x:v>
      </x:c>
      <x:c r="Q7" s="22" t="str">
        <x:v>Alta</x:v>
      </x:c>
      <x:c r="R7" s="22" t="str">
        <x:v>Confirmar por VIN, motor, tracción y año antes de vender o instalar.</x:v>
      </x:c>
    </x:row>
    <x:row r="8">
      <x:c r="A8" s="22" t="str">
        <x:v>CU 22 032</x:v>
      </x:c>
      <x:c r="B8" s="22" t="str">
        <x:v>Filtro de cabina</x:v>
      </x:c>
      <x:c r="C8" s="22" t="str">
        <x:v>Filtros</x:v>
      </x:c>
      <x:c r="D8" s="22" t="str">
        <x:v>MANN-FILTER</x:v>
      </x:c>
      <x:c r="E8" s="22" t="str">
        <x:v>Toyota Hilux Revo / Fortuner (verificar año por VIN)</x:v>
      </x:c>
      <x:c r="F8" s="22" t="str">
        <x:v>Varios</x:v>
      </x:c>
      <x:c r="G8" s="22" t="str">
        <x:v>Cabina, detrás de guantera</x:v>
      </x:c>
      <x:c r="H8" s="22" t="str">
        <x:v>largo_mm: 216 | ancho_mm: 185 | alto_mm: 30 | medio: Partículas</x:v>
      </x:c>
      <x:c r="I8" s="22" t="str">
        <x:v>Toyota 87139-0K060 | Toyota 87139-0K090</x:v>
      </x:c>
      <x:c r="J8" s="23" t="n">
        <x:v>109900</x:v>
      </x:c>
      <x:c r="K8" s="22" t="str">
        <x:v>Sugerido web</x:v>
      </x:c>
      <x:c r="L8" s="22" t="str">
        <x:v>Confirmada</x:v>
      </x:c>
      <x:c r="M8" s="22" t="str">
        <x:v>Lista</x:v>
      </x:c>
      <x:c r="N8" s="22" t="str">
        <x:v>/catalogo-prioridad-diesel/filtros--mann-filter--cu-22-032--toyota-hilux-revo-fortuner.jpg</x:v>
      </x:c>
      <x:c r="O8" s="22" t="str">
        <x:v>https://www.mann-filter.com/ca-en/catalog/search-results/product.html/cu22032_mann-filter.html</x:v>
      </x:c>
      <x:c r="P8" s="22" t="str">
        <x:v>https://s7g10.scene7.com/is/image/mannhummel/CU_22_032</x:v>
      </x:c>
      <x:c r="Q8" s="22" t="str">
        <x:v>Alta</x:v>
      </x:c>
      <x:c r="R8" s="22" t="str">
        <x:v>Confirmar por VIN, motor, tracción y año antes de vender o instalar.</x:v>
      </x:c>
    </x:row>
    <x:row r="9">
      <x:c r="A9" s="22" t="str">
        <x:v>C 22 024</x:v>
      </x:c>
      <x:c r="B9" s="22" t="str">
        <x:v>Filtro de aire</x:v>
      </x:c>
      <x:c r="C9" s="22" t="str">
        <x:v>Filtros</x:v>
      </x:c>
      <x:c r="D9" s="22" t="str">
        <x:v>MANN-FILTER</x:v>
      </x:c>
      <x:c r="E9" s="22" t="str">
        <x:v>Ford Ranger 2.2 / 3.2 TDCi y Mazda BT-50 II (2011+)</x:v>
      </x:c>
      <x:c r="F9" s="22" t="str">
        <x:v>T22DD0P / P5-AT</x:v>
      </x:c>
      <x:c r="G9" s="22" t="str">
        <x:v>Admisión</x:v>
      </x:c>
      <x:c r="H9" s="22" t="str">
        <x:v>largo_mm: 222 | ancho_mm: 135 | alto_mm: 138</x:v>
      </x:c>
      <x:c r="I9" s="22" t="str">
        <x:v>Ford AB39-9601-AB | Ford 1720719 | Mazda U2Y0-13-Z40</x:v>
      </x:c>
      <x:c r="J9" s="23" t="n">
        <x:v>169900</x:v>
      </x:c>
      <x:c r="K9" s="22" t="str">
        <x:v>Sugerido web</x:v>
      </x:c>
      <x:c r="L9" s="22" t="str">
        <x:v>Confirmada</x:v>
      </x:c>
      <x:c r="M9" s="22" t="str">
        <x:v>Lista</x:v>
      </x:c>
      <x:c r="N9" s="22" t="str">
        <x:v>/catalogo-prioridad-diesel/filtros--mann-filter--c-22-024--ford-ranger-2-2-3-2-tdci-y-mazda-bt-50-ii.jpg</x:v>
      </x:c>
      <x:c r="O9" s="22" t="str">
        <x:v>https://www.mann-filter.com/mx-es/catalogo/resultados-de-la-busqueda/producto.html/c22024_mann-filter.html</x:v>
      </x:c>
      <x:c r="P9" s="22" t="str">
        <x:v>https://s7g10.scene7.com/is/image/mannhummel/C_22_024</x:v>
      </x:c>
      <x:c r="Q9" s="22" t="str">
        <x:v>Alta</x:v>
      </x:c>
      <x:c r="R9" s="22" t="str">
        <x:v>Confirmar por VIN, motor, tracción y año antes de vender o instalar.</x:v>
      </x:c>
    </x:row>
    <x:row r="10">
      <x:c r="A10" s="22" t="str">
        <x:v>HU 7002 z</x:v>
      </x:c>
      <x:c r="B10" s="22" t="str">
        <x:v>Filtro de aceite</x:v>
      </x:c>
      <x:c r="C10" s="22" t="str">
        <x:v>Filtros</x:v>
      </x:c>
      <x:c r="D10" s="22" t="str">
        <x:v>MANN-FILTER</x:v>
      </x:c>
      <x:c r="E10" s="22" t="str">
        <x:v>Ford Ranger 2.2 / 3.2 TDCi y Mazda BT-50 II (2011+)</x:v>
      </x:c>
      <x:c r="F10" s="22" t="str">
        <x:v>T22DD0P / P5-AT</x:v>
      </x:c>
      <x:c r="G10" s="22" t="str">
        <x:v>Motor</x:v>
      </x:c>
      <x:c r="H10" s="22" t="str">
        <x:v>diametro_exterior_mm: 64 | diametro_interior_mm: 31 | altura_mm: 69 | incluye_junta: true</x:v>
      </x:c>
      <x:c r="I10" s="22" t="str">
        <x:v>Ford BB3Q-6744-BA | Ford 1720612 | Mazda U2Y0-14302</x:v>
      </x:c>
      <x:c r="J10" s="23" t="n">
        <x:v>129900</x:v>
      </x:c>
      <x:c r="K10" s="22" t="str">
        <x:v>Sugerido web</x:v>
      </x:c>
      <x:c r="L10" s="22" t="str">
        <x:v>Confirmada</x:v>
      </x:c>
      <x:c r="M10" s="22" t="str">
        <x:v>Lista</x:v>
      </x:c>
      <x:c r="N10" s="22" t="str">
        <x:v>/catalogo-prioridad-diesel/filtros--mann-filter--hu-7002-z--ford-ranger-2-2-3-2-tdci-y-mazda-bt-50-ii.jpg</x:v>
      </x:c>
      <x:c r="O10" s="22" t="str">
        <x:v>https://www.mann-filter.com/es/catalogo/resultados-de-busqueda/producto.html/hu7002z_mann-filter.html</x:v>
      </x:c>
      <x:c r="P10" s="22" t="str">
        <x:v>https://s7g10.scene7.com/is/image/mannhummel/HU_7002_z-filter-with-box-1</x:v>
      </x:c>
      <x:c r="Q10" s="22" t="str">
        <x:v>Alta</x:v>
      </x:c>
      <x:c r="R10" s="22" t="str">
        <x:v>Confirmar por VIN, motor, tracción y año antes de vender o instalar.</x:v>
      </x:c>
    </x:row>
    <x:row r="11">
      <x:c r="A11" s="22" t="str">
        <x:v>PU 9008 z</x:v>
      </x:c>
      <x:c r="B11" s="22" t="str">
        <x:v>Filtro de combustible diésel</x:v>
      </x:c>
      <x:c r="C11" s="22" t="str">
        <x:v>Filtros</x:v>
      </x:c>
      <x:c r="D11" s="22" t="str">
        <x:v>MANN-FILTER</x:v>
      </x:c>
      <x:c r="E11" s="22" t="str">
        <x:v>Ford Ranger 2.2 / 3.2 TDCi y Mazda BT-50 II (2011+)</x:v>
      </x:c>
      <x:c r="F11" s="22" t="str">
        <x:v>T22DD0P / P5-AT</x:v>
      </x:c>
      <x:c r="G11" s="22" t="str">
        <x:v>Combustible</x:v>
      </x:c>
      <x:c r="H11" s="22" t="str">
        <x:v>tipo: Elemento filtrante | combustible: Diésel</x:v>
      </x:c>
      <x:c r="I11" s="22" t="str">
        <x:v>Ford AB39-9176-AC | Ford 1725552 | Mazda U2Y0-13-ZA5</x:v>
      </x:c>
      <x:c r="J11" s="23" t="n">
        <x:v>259900</x:v>
      </x:c>
      <x:c r="K11" s="22" t="str">
        <x:v>Sugerido web</x:v>
      </x:c>
      <x:c r="L11" s="22" t="str">
        <x:v>Confirmada</x:v>
      </x:c>
      <x:c r="M11" s="22" t="str">
        <x:v>Lista</x:v>
      </x:c>
      <x:c r="N11" s="22" t="str">
        <x:v>/catalogo-prioridad-diesel/filtros--mann-filter--pu-9008-z--ford-ranger-2-2-3-2-tdci-y-mazda-bt-50-ii.jpg</x:v>
      </x:c>
      <x:c r="O11" s="22" t="str">
        <x:v>https://www.mann-filter.com/es/catalogo/resultados-de-busqueda/producto.html/pu9008z_mann-filter.html</x:v>
      </x:c>
      <x:c r="P11" s="22" t="str">
        <x:v>https://s7g10.scene7.com/is/image/mannhummel/PU_9008_z</x:v>
      </x:c>
      <x:c r="Q11" s="22" t="str">
        <x:v>Alta</x:v>
      </x:c>
      <x:c r="R11" s="22" t="str">
        <x:v>Confirmar por VIN, motor, tracción y año antes de vender o instalar.</x:v>
      </x:c>
    </x:row>
    <x:row r="12">
      <x:c r="A12" s="22" t="str">
        <x:v>CU 24 006</x:v>
      </x:c>
      <x:c r="B12" s="22" t="str">
        <x:v>Filtro de cabina</x:v>
      </x:c>
      <x:c r="C12" s="22" t="str">
        <x:v>Filtros</x:v>
      </x:c>
      <x:c r="D12" s="22" t="str">
        <x:v>MANN-FILTER</x:v>
      </x:c>
      <x:c r="E12" s="22" t="str">
        <x:v>Ford Ranger 2.2 / 3.2 TDCi y Mazda BT-50 II (2011+)</x:v>
      </x:c>
      <x:c r="F12" s="22" t="str">
        <x:v>Varios</x:v>
      </x:c>
      <x:c r="G12" s="22" t="str">
        <x:v>Cabina</x:v>
      </x:c>
      <x:c r="H12" s="22" t="str">
        <x:v>largo_mm: 215 | ancho_mm: 234 | alto_mm: 30 | medio: Partículas</x:v>
      </x:c>
      <x:c r="I12" s="22" t="str">
        <x:v>Ford AB39-19N619-AA | Ford 1718237 | Mazda UCY0-61-P11</x:v>
      </x:c>
      <x:c r="J12" s="23" t="n">
        <x:v>109900</x:v>
      </x:c>
      <x:c r="K12" s="22" t="str">
        <x:v>Sugerido web</x:v>
      </x:c>
      <x:c r="L12" s="22" t="str">
        <x:v>Confirmada</x:v>
      </x:c>
      <x:c r="M12" s="22" t="str">
        <x:v>Lista</x:v>
      </x:c>
      <x:c r="N12" s="22" t="str">
        <x:v>/catalogo-prioridad-diesel/filtros--mann-filter--cu-24-006--ford-ranger-2-2-3-2-tdci-y-mazda-bt-50-ii.jpg</x:v>
      </x:c>
      <x:c r="O12" s="22" t="str">
        <x:v>https://www.mann-filter.com/en/catalog/search-results/product.html/cu24006_mann-filter.html</x:v>
      </x:c>
      <x:c r="P12" s="22" t="str">
        <x:v>https://s7g10.scene7.com/is/image/mannhummel/CU_24_006</x:v>
      </x:c>
      <x:c r="Q12" s="22" t="str">
        <x:v>Alta</x:v>
      </x:c>
      <x:c r="R12" s="22" t="str">
        <x:v>Confirmar por VIN, motor, tracción y año antes de vender o instalar.</x:v>
      </x:c>
    </x:row>
    <x:row r="13">
      <x:c r="A13" s="22" t="str">
        <x:v>USA69256-A</x:v>
      </x:c>
      <x:c r="B13" s="22" t="str">
        <x:v>Amortiguador de gas</x:v>
      </x:c>
      <x:c r="C13" s="22" t="str">
        <x:v>Suspensión</x:v>
      </x:c>
      <x:c r="D13" s="22" t="str">
        <x:v>Gabriel</x:v>
      </x:c>
      <x:c r="E13" s="22" t="str">
        <x:v>Toyota Hilux 2.7 / 2.8 RWD y 4WD (2016-2019)</x:v>
      </x:c>
      <x:c r="F13" s="22" t="str">
        <x:v>2.7 / 2.8</x:v>
      </x:c>
      <x:c r="G13" s="22" t="str">
        <x:v>Delantero, derecho o izquierdo</x:v>
      </x:c>
      <x:c r="H13" s="22" t="str">
        <x:v>tipo_catalogo: C | atributo: Gas | carroceria: Crew Cab / Standard Cab / Cab &amp; Chasis</x:v>
      </x:c>
      <x:c r="I13" s="22" t="str"/>
      <x:c r="J13" s="23" t="n">
        <x:v>289900</x:v>
      </x:c>
      <x:c r="K13" s="22" t="str">
        <x:v>Sugerido web</x:v>
      </x:c>
      <x:c r="L13" s="22" t="str">
        <x:v>Confirmada</x:v>
      </x:c>
      <x:c r="M13" s="22" t="str">
        <x:v>Pendiente</x:v>
      </x:c>
      <x:c r="N13" s="22" t="str"/>
      <x:c r="O13" s="22" t="str">
        <x:v>https://www.gabriel.com.mx/fileadmin/gabrielmexico/img/doc/CATALOGO_SL_2026_FINAL_DIGITAL_1.pdf</x:v>
      </x:c>
      <x:c r="P13" s="22" t="str"/>
      <x:c r="Q13" s="22" t="str">
        <x:v>Alta</x:v>
      </x:c>
      <x:c r="R13" s="22" t="str">
        <x:v>Confirmar por VIN, motor, tracción y año antes de vender o instalar.</x:v>
      </x:c>
    </x:row>
    <x:row r="14">
      <x:c r="A14" s="22" t="str">
        <x:v>69198-A</x:v>
      </x:c>
      <x:c r="B14" s="22" t="str">
        <x:v>Amortiguador de gas</x:v>
      </x:c>
      <x:c r="C14" s="22" t="str">
        <x:v>Suspensión</x:v>
      </x:c>
      <x:c r="D14" s="22" t="str">
        <x:v>Gabriel</x:v>
      </x:c>
      <x:c r="E14" s="22" t="str">
        <x:v>Toyota Hilux 2.7 / 2.8 RWD y 4WD (2016-2019)</x:v>
      </x:c>
      <x:c r="F14" s="22" t="str">
        <x:v>2.7 / 2.8</x:v>
      </x:c>
      <x:c r="G14" s="22" t="str">
        <x:v>Trasero, derecho o izquierdo</x:v>
      </x:c>
      <x:c r="H14" s="22" t="str">
        <x:v>tipo_catalogo: C | atributo: Gas | unidad_venta: 1</x:v>
      </x:c>
      <x:c r="I14" s="22" t="str"/>
      <x:c r="J14" s="23" t="n">
        <x:v>124900</x:v>
      </x:c>
      <x:c r="K14" s="22" t="str">
        <x:v>Sugerido web</x:v>
      </x:c>
      <x:c r="L14" s="22" t="str">
        <x:v>Confirmada</x:v>
      </x:c>
      <x:c r="M14" s="22" t="str">
        <x:v>Pendiente</x:v>
      </x:c>
      <x:c r="N14" s="22" t="str"/>
      <x:c r="O14" s="22" t="str">
        <x:v>https://www.gabriel.com.mx/fileadmin/gabrielmexico/img/doc/CATALOGO_SL_2026_FINAL_DIGITAL_1.pdf</x:v>
      </x:c>
      <x:c r="P14" s="22" t="str"/>
      <x:c r="Q14" s="22" t="str">
        <x:v>Alta</x:v>
      </x:c>
      <x:c r="R14" s="22" t="str">
        <x:v>Confirmar por VIN, motor, tracción y año antes de vender o instalar.</x:v>
      </x:c>
    </x:row>
    <x:row r="15">
      <x:c r="A15" s="22" t="str">
        <x:v>USA79356-A</x:v>
      </x:c>
      <x:c r="B15" s="22" t="str">
        <x:v>Strut de gas</x:v>
      </x:c>
      <x:c r="C15" s="22" t="str">
        <x:v>Suspensión</x:v>
      </x:c>
      <x:c r="D15" s="22" t="str">
        <x:v>Gabriel</x:v>
      </x:c>
      <x:c r="E15" s="22" t="str">
        <x:v>Toyota Hilux 2.7 / 2.8 RWD y 4WD (2020-2023)</x:v>
      </x:c>
      <x:c r="F15" s="22" t="str">
        <x:v>2.7 / 2.8</x:v>
      </x:c>
      <x:c r="G15" s="22" t="str">
        <x:v>Delantero izquierdo</x:v>
      </x:c>
      <x:c r="H15" s="22" t="str">
        <x:v>tipo_catalogo: S | atributo: Gas | extendido_mm: 416 | comprimido_mm: 296 | carrera_mm: 120</x:v>
      </x:c>
      <x:c r="I15" s="22" t="str">
        <x:v>KYB 341398 | Boge 930210 | GRC G64057</x:v>
      </x:c>
      <x:c r="J15" s="23" t="n">
        <x:v>259900</x:v>
      </x:c>
      <x:c r="K15" s="22" t="str">
        <x:v>Sugerido web</x:v>
      </x:c>
      <x:c r="L15" s="22" t="str">
        <x:v>Confirmada</x:v>
      </x:c>
      <x:c r="M15" s="22" t="str">
        <x:v>Lista</x:v>
      </x:c>
      <x:c r="N15" s="22" t="str">
        <x:v>/catalogo-prioridad-diesel/suspension--gabriel--usa79356-a--toyota-hilux-2-7-2-8-rwd-y-4wd.jpg</x:v>
      </x:c>
      <x:c r="O15" s="22" t="str">
        <x:v>https://www.gabriel.com.mx/fileadmin/gabrielmexico/img/doc/CATALOGO_SL_2026_FINAL_DIGITAL_1.pdf</x:v>
      </x:c>
      <x:c r="P15" s="22" t="str">
        <x:v>https://miautoparte.com/cdn/shop/files/usa79356_0_2048x2048.jpg</x:v>
      </x:c>
      <x:c r="Q15" s="22" t="str">
        <x:v>Alta</x:v>
      </x:c>
      <x:c r="R15" s="22" t="str">
        <x:v>Confirmar por VIN, motor, tracción y año antes de vender o instalar.</x:v>
      </x:c>
    </x:row>
    <x:row r="16">
      <x:c r="A16" s="22" t="str">
        <x:v>USA79355-A</x:v>
      </x:c>
      <x:c r="B16" s="22" t="str">
        <x:v>Strut de gas</x:v>
      </x:c>
      <x:c r="C16" s="22" t="str">
        <x:v>Suspensión</x:v>
      </x:c>
      <x:c r="D16" s="22" t="str">
        <x:v>Gabriel</x:v>
      </x:c>
      <x:c r="E16" s="22" t="str">
        <x:v>Toyota Hilux 2.7 / 2.8 RWD y 4WD (2020-2023)</x:v>
      </x:c>
      <x:c r="F16" s="22" t="str">
        <x:v>2.7 / 2.8</x:v>
      </x:c>
      <x:c r="G16" s="22" t="str">
        <x:v>Delantero derecho</x:v>
      </x:c>
      <x:c r="H16" s="22" t="str">
        <x:v>tipo_catalogo: S | atributo: Gas</x:v>
      </x:c>
      <x:c r="I16" s="22" t="str">
        <x:v>KYB 341397 | Boge 930227 | GRC G51894</x:v>
      </x:c>
      <x:c r="J16" s="23" t="n">
        <x:v>259900</x:v>
      </x:c>
      <x:c r="K16" s="22" t="str">
        <x:v>Sugerido web</x:v>
      </x:c>
      <x:c r="L16" s="22" t="str">
        <x:v>Confirmada</x:v>
      </x:c>
      <x:c r="M16" s="22" t="str">
        <x:v>Pendiente</x:v>
      </x:c>
      <x:c r="N16" s="22" t="str"/>
      <x:c r="O16" s="22" t="str">
        <x:v>https://www.gabriel.com.mx/fileadmin/gabrielmexico/img/doc/CATALOGO_SL_2026_FINAL_DIGITAL_1.pdf</x:v>
      </x:c>
      <x:c r="P16" s="22" t="str"/>
      <x:c r="Q16" s="22" t="str">
        <x:v>Alta</x:v>
      </x:c>
      <x:c r="R16" s="22" t="str">
        <x:v>Confirmar por VIN, motor, tracción y año antes de vender o instalar.</x:v>
      </x:c>
    </x:row>
    <x:row r="17">
      <x:c r="A17" s="22" t="str">
        <x:v>USA72050-A</x:v>
      </x:c>
      <x:c r="B17" s="22" t="str">
        <x:v>Amortiguador de gas</x:v>
      </x:c>
      <x:c r="C17" s="22" t="str">
        <x:v>Suspensión</x:v>
      </x:c>
      <x:c r="D17" s="22" t="str">
        <x:v>Gabriel</x:v>
      </x:c>
      <x:c r="E17" s="22" t="str">
        <x:v>Toyota Hilux 2.7 / 2.8 RWD y 4WD (2020-2023)</x:v>
      </x:c>
      <x:c r="F17" s="22" t="str">
        <x:v>2.7 / 2.8</x:v>
      </x:c>
      <x:c r="G17" s="22" t="str">
        <x:v>Trasero, derecho o izquierdo</x:v>
      </x:c>
      <x:c r="H17" s="22" t="str">
        <x:v>tipo_catalogo: C | atributo: Gas</x:v>
      </x:c>
      <x:c r="I17" s="22" t="str"/>
      <x:c r="J17" s="23" t="n">
        <x:v>124900</x:v>
      </x:c>
      <x:c r="K17" s="22" t="str">
        <x:v>Sugerido web</x:v>
      </x:c>
      <x:c r="L17" s="22" t="str">
        <x:v>Confirmada</x:v>
      </x:c>
      <x:c r="M17" s="22" t="str">
        <x:v>Pendiente</x:v>
      </x:c>
      <x:c r="N17" s="22" t="str"/>
      <x:c r="O17" s="22" t="str">
        <x:v>https://www.gabriel.com.mx/fileadmin/gabrielmexico/img/doc/CATALOGO_SL_2026_FINAL_DIGITAL_1.pdf</x:v>
      </x:c>
      <x:c r="P17" s="22" t="str"/>
      <x:c r="Q17" s="22" t="str">
        <x:v>Alta</x:v>
      </x:c>
      <x:c r="R17" s="22" t="str">
        <x:v>Confirmar por VIN, motor, tracción y año antes de vender o instalar.</x:v>
      </x:c>
    </x:row>
    <x:row r="18">
      <x:c r="A18" s="22" t="str">
        <x:v>USA79313-A</x:v>
      </x:c>
      <x:c r="B18" s="22" t="str">
        <x:v>Strut de gas</x:v>
      </x:c>
      <x:c r="C18" s="22" t="str">
        <x:v>Suspensión</x:v>
      </x:c>
      <x:c r="D18" s="22" t="str">
        <x:v>Gabriel</x:v>
      </x:c>
      <x:c r="E18" s="22" t="str">
        <x:v>Volkswagen Amarok 2.0 RWD / 4WD (2011-2016)</x:v>
      </x:c>
      <x:c r="F18" s="22" t="str">
        <x:v>2.0</x:v>
      </x:c>
      <x:c r="G18" s="22" t="str">
        <x:v>Delantero, derecho o izquierdo</x:v>
      </x:c>
      <x:c r="H18" s="22" t="str">
        <x:v>tipo_catalogo: S | atributo: Gas | carroceria: Crew Cab Pickup</x:v>
      </x:c>
      <x:c r="I18" s="22" t="str"/>
      <x:c r="J18" s="23" t="n">
        <x:v>289900</x:v>
      </x:c>
      <x:c r="K18" s="22" t="str">
        <x:v>Sugerido web</x:v>
      </x:c>
      <x:c r="L18" s="22" t="str">
        <x:v>Confirmada</x:v>
      </x:c>
      <x:c r="M18" s="22" t="str">
        <x:v>Lista</x:v>
      </x:c>
      <x:c r="N18" s="22" t="str">
        <x:v>/catalogo-prioridad-diesel/suspension--gabriel--usa79313-a--volkswagen-amarok-2-0-rwd-4wd.jpg</x:v>
      </x:c>
      <x:c r="O18" s="22" t="str">
        <x:v>https://www.gabriel.com.mx/fileadmin/gabrielmexico/img/doc/CATALOGO_SL_2026_FINAL_DIGITAL_1.pdf</x:v>
      </x:c>
      <x:c r="P18" s="22" t="str">
        <x:v>https://miautoparte.com/cdn/shop/files/usa79313_0_2048x2048.jpg</x:v>
      </x:c>
      <x:c r="Q18" s="22" t="str">
        <x:v>Alta</x:v>
      </x:c>
      <x:c r="R18" s="22" t="str">
        <x:v>Confirmar por VIN, motor, tracción y año antes de vender o instalar.</x:v>
      </x:c>
    </x:row>
    <x:row r="19">
      <x:c r="A19" s="22" t="str">
        <x:v>USA69765-A</x:v>
      </x:c>
      <x:c r="B19" s="22" t="str">
        <x:v>Amortiguador de gas</x:v>
      </x:c>
      <x:c r="C19" s="22" t="str">
        <x:v>Suspensión</x:v>
      </x:c>
      <x:c r="D19" s="22" t="str">
        <x:v>Gabriel</x:v>
      </x:c>
      <x:c r="E19" s="22" t="str">
        <x:v>Volkswagen Amarok 2.0 RWD / 4WD (2011-2016)</x:v>
      </x:c>
      <x:c r="F19" s="22" t="str">
        <x:v>2.0</x:v>
      </x:c>
      <x:c r="G19" s="22" t="str">
        <x:v>Trasero, derecho o izquierdo</x:v>
      </x:c>
      <x:c r="H19" s="22" t="str">
        <x:v>tipo_catalogo: C | atributo: Gas | carroceria: Crew Cab Pickup</x:v>
      </x:c>
      <x:c r="I19" s="22" t="str"/>
      <x:c r="J19" s="23" t="n">
        <x:v>149900</x:v>
      </x:c>
      <x:c r="K19" s="22" t="str">
        <x:v>Sugerido web</x:v>
      </x:c>
      <x:c r="L19" s="22" t="str">
        <x:v>Confirmada</x:v>
      </x:c>
      <x:c r="M19" s="22" t="str">
        <x:v>Lista</x:v>
      </x:c>
      <x:c r="N19" s="22" t="str">
        <x:v>/catalogo-prioridad-diesel/suspension--gabriel--usa69765-a--volkswagen-amarok-2-0-rwd-4wd.jpg</x:v>
      </x:c>
      <x:c r="O19" s="22" t="str">
        <x:v>https://www.gabriel.com.mx/fileadmin/gabrielmexico/img/doc/CATALOGO_SL_2026_FINAL_DIGITAL_1.pdf</x:v>
      </x:c>
      <x:c r="P19" s="22" t="str">
        <x:v>https://miautoparte.com/cdn/shop/files/usa69765_0_2048x2048.jpg</x:v>
      </x:c>
      <x:c r="Q19" s="22" t="str">
        <x:v>Alta</x:v>
      </x:c>
      <x:c r="R19" s="22" t="str">
        <x:v>Confirmar por VIN, motor, tracción y año antes de vender o instalar.</x:v>
      </x:c>
    </x:row>
  </x:sheetData>
  <x:mergeCells>
    <x:mergeCell ref="A1:R1"/>
    <x:mergeCell ref="A2:R2"/>
  </x:mergeCells>
  <x:conditionalFormatting sqref="M5:M19">
    <x:cfRule type="containsText" dxfId="0" priority="1" operator="containsText" text="Pendiente"/>
    <x:cfRule type="containsText" dxfId="1" priority="2" operator="containsText" text="Lista"/>
  </x:conditionalFormatting>
  <x:pageMargins left="0.7" right="0.7" top="0.75" bottom="0.75" header="0.3" footer="0.3"/>
  <x:tableParts count="1">
    <x:tablePart xmlns:r="http://schemas.openxmlformats.org/officeDocument/2006/relationships" r:id="Rc7f0363f210946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7.75" hidden="0" customWidth="1"/>
    <x:col min="2" max="2" width="117.75" hidden="0" customWidth="1"/>
    <x:col min="3" max="3" width="117.75" hidden="0" customWidth="1"/>
    <x:col min="4" max="4" width="117.75" hidden="0" customWidth="1"/>
    <x:col min="5" max="5" width="117.75" hidden="0" customWidth="1"/>
    <x:col min="6" max="6" width="117.75" hidden="0" customWidth="1"/>
    <x:col min="7" max="7" width="38" hidden="0" customWidth="1"/>
    <x:col min="8" max="8" width="38" hidden="0" customWidth="1"/>
    <x:col min="9" max="9" width="38" hidden="0" customWidth="1"/>
  </x:cols>
  <x:sheetData>
    <x:row r="1" ht="32" customHeight="1">
      <x:c r="A1" s="3" t="str">
        <x:v>Precios competitivos y base de decisión</x:v>
      </x:c>
      <x:c r="B1" s="3" t="str">
        <x:v>Precios competitivos y base de decisión</x:v>
      </x:c>
      <x:c r="C1" s="3" t="str">
        <x:v>Precios competitivos y base de decisión</x:v>
      </x:c>
      <x:c r="D1" s="3" t="str">
        <x:v>Precios competitivos y base de decisión</x:v>
      </x:c>
      <x:c r="E1" s="3" t="str">
        <x:v>Precios competitivos y base de decisión</x:v>
      </x:c>
      <x:c r="F1" s="3" t="str">
        <x:v>Precios competitivos y base de decisión</x:v>
      </x:c>
      <x:c r="G1" s="3" t="str">
        <x:v>Precios competitivos y base de decisión</x:v>
      </x:c>
      <x:c r="H1" s="3" t="str">
        <x:v>Precios competitivos y base de decisión</x:v>
      </x:c>
      <x:c r="I1" s="3" t="str">
        <x:v>Precios competitivos y base de decisión</x:v>
      </x:c>
    </x:row>
    <x:row r="2" ht="30" customHeight="1">
      <x:c r="A2" s="6" t="str">
        <x:v>Los rangos observados sirven como referencia de mercado. El precio sugerido debe recalcularse con costo real, IVA, disponibilidad y margen de Victor Services.</x:v>
      </x:c>
      <x:c r="B2" s="6" t="str">
        <x:v>Los rangos observados sirven como referencia de mercado. El precio sugerido debe recalcularse con costo real, IVA, disponibilidad y margen de Victor Services.</x:v>
      </x:c>
      <x:c r="C2" s="6" t="str">
        <x:v>Los rangos observados sirven como referencia de mercado. El precio sugerido debe recalcularse con costo real, IVA, disponibilidad y margen de Victor Services.</x:v>
      </x:c>
      <x:c r="D2" s="6" t="str">
        <x:v>Los rangos observados sirven como referencia de mercado. El precio sugerido debe recalcularse con costo real, IVA, disponibilidad y margen de Victor Services.</x:v>
      </x:c>
      <x:c r="E2" s="6" t="str">
        <x:v>Los rangos observados sirven como referencia de mercado. El precio sugerido debe recalcularse con costo real, IVA, disponibilidad y margen de Victor Services.</x:v>
      </x:c>
      <x:c r="F2" s="6" t="str">
        <x:v>Los rangos observados sirven como referencia de mercado. El precio sugerido debe recalcularse con costo real, IVA, disponibilidad y margen de Victor Services.</x:v>
      </x:c>
      <x:c r="G2" s="6" t="str">
        <x:v>Los rangos observados sirven como referencia de mercado. El precio sugerido debe recalcularse con costo real, IVA, disponibilidad y margen de Victor Services.</x:v>
      </x:c>
      <x:c r="H2" s="6" t="str">
        <x:v>Los rangos observados sirven como referencia de mercado. El precio sugerido debe recalcularse con costo real, IVA, disponibilidad y margen de Victor Services.</x:v>
      </x:c>
      <x:c r="I2" s="6" t="str">
        <x:v>Los rangos observados sirven como referencia de mercado. El precio sugerido debe recalcularse con costo real, IVA, disponibilidad y margen de Victor Services.</x:v>
      </x:c>
    </x:row>
    <x:row r="4">
      <x:c r="A4" s="17" t="str">
        <x:v>Referencia</x:v>
      </x:c>
      <x:c r="B4" s="17" t="str">
        <x:v>Categoría</x:v>
      </x:c>
      <x:c r="C4" s="17" t="str">
        <x:v>Mercado bajo COP</x:v>
      </x:c>
      <x:c r="D4" s="17" t="str">
        <x:v>Mercado alto COP</x:v>
      </x:c>
      <x:c r="E4" s="17" t="str">
        <x:v>Precio sugerido COP</x:v>
      </x:c>
      <x:c r="F4" s="17" t="str">
        <x:v>Posición en banda</x:v>
      </x:c>
      <x:c r="G4" s="17" t="str">
        <x:v>Tipo de comparación</x:v>
      </x:c>
      <x:c r="H4" s="17" t="str">
        <x:v>Fuente / base</x:v>
      </x:c>
      <x:c r="I4" s="17" t="str">
        <x:v>Advertencia</x:v>
      </x:c>
    </x:row>
    <x:row r="5">
      <x:c r="A5" s="22" t="str">
        <x:v>W 712/83</x:v>
      </x:c>
      <x:c r="B5" s="22" t="str">
        <x:v>Filtros</x:v>
      </x:c>
      <x:c r="C5" s="23" t="n">
        <x:v>126000</x:v>
      </x:c>
      <x:c r="D5" s="23" t="n">
        <x:v>127000</x:v>
      </x:c>
      <x:c r="E5" s="23" t="n">
        <x:v>119900</x:v>
      </x:c>
      <x:c r="F5" s="27" t="n">
        <x:f>IF(OR(C5="",D5="",D5=C5),"N/D",(E5-C5)/(D5-C5))</x:f>
        <x:v>-6.1</x:v>
      </x:c>
      <x:c r="G5" s="22" t="str">
        <x:v>Referencia MANN W 712 publicada en Colombia</x:v>
      </x:c>
      <x:c r="H5" s="22" t="str">
        <x:v>https://www.mercadolibre.com.co/mannfilter-w-712-spinon-filtro-de-aceite/up/MCOU2471288697</x:v>
      </x:c>
      <x:c r="I5" s="22" t="str">
        <x:v>Validar costo/IVA/inventario antes de publicar compra</x:v>
      </x:c>
    </x:row>
    <x:row r="6">
      <x:c r="A6" s="22" t="str">
        <x:v>C 33 017</x:v>
      </x:c>
      <x:c r="B6" s="22" t="str">
        <x:v>Filtros</x:v>
      </x:c>
      <x:c r="C6" s="23"/>
      <x:c r="D6" s="23"/>
      <x:c r="E6" s="23" t="n">
        <x:v>149900</x:v>
      </x:c>
      <x:c r="F6" s="27" t="str">
        <x:f>IF(OR(C6="",D6="",D6=C6),"N/D",(E6-C6)/(D6-C6))</x:f>
        <x:v>N/D</x:v>
      </x:c>
      <x:c r="G6" s="22" t="str">
        <x:v>Estimación comercial por marca premium y aplicación; falta cotización local exacta</x:v>
      </x:c>
      <x:c r="H6" s="22" t="str">
        <x:v>https://www.mann-filter.com/us-es/catalogo/resultados-de-la-busqueda/producto.html/c33017_mann-filter.html</x:v>
      </x:c>
      <x:c r="I6" s="22" t="str">
        <x:v>Validar costo/IVA/inventario antes de publicar compra</x:v>
      </x:c>
    </x:row>
    <x:row r="7">
      <x:c r="A7" s="22" t="str">
        <x:v>PU 9023 z</x:v>
      </x:c>
      <x:c r="B7" s="22" t="str">
        <x:v>Filtros</x:v>
      </x:c>
      <x:c r="C7" s="23"/>
      <x:c r="D7" s="23"/>
      <x:c r="E7" s="23" t="n">
        <x:v>239900</x:v>
      </x:c>
      <x:c r="F7" s="27" t="str">
        <x:f>IF(OR(C7="",D7="",D7=C7),"N/D",(E7-C7)/(D7-C7))</x:f>
        <x:v>N/D</x:v>
      </x:c>
      <x:c r="G7" s="22" t="str">
        <x:v>Estimación comercial por marca premium y aplicación; falta cotización local exacta</x:v>
      </x:c>
      <x:c r="H7" s="22" t="str">
        <x:v>https://www.mann-filter.com/br-pt/catalogo/resultados-da-pesquisa/produto.html/pu9023z_mann-filter.html</x:v>
      </x:c>
      <x:c r="I7" s="22" t="str">
        <x:v>Validar costo/IVA/inventario antes de publicar compra</x:v>
      </x:c>
    </x:row>
    <x:row r="8">
      <x:c r="A8" s="22" t="str">
        <x:v>CU 22 032</x:v>
      </x:c>
      <x:c r="B8" s="22" t="str">
        <x:v>Filtros</x:v>
      </x:c>
      <x:c r="C8" s="23"/>
      <x:c r="D8" s="23"/>
      <x:c r="E8" s="23" t="n">
        <x:v>109900</x:v>
      </x:c>
      <x:c r="F8" s="27" t="str">
        <x:f>IF(OR(C8="",D8="",D8=C8),"N/D",(E8-C8)/(D8-C8))</x:f>
        <x:v>N/D</x:v>
      </x:c>
      <x:c r="G8" s="22" t="str">
        <x:v>Estimación comercial por marca premium y aplicación; falta cotización local exacta</x:v>
      </x:c>
      <x:c r="H8" s="22" t="str">
        <x:v>https://www.mann-filter.com/ca-en/catalog/search-results/product.html/cu22032_mann-filter.html</x:v>
      </x:c>
      <x:c r="I8" s="22" t="str">
        <x:v>Validar costo/IVA/inventario antes de publicar compra</x:v>
      </x:c>
    </x:row>
    <x:row r="9">
      <x:c r="A9" s="22" t="str">
        <x:v>C 22 024</x:v>
      </x:c>
      <x:c r="B9" s="22" t="str">
        <x:v>Filtros</x:v>
      </x:c>
      <x:c r="C9" s="23"/>
      <x:c r="D9" s="23"/>
      <x:c r="E9" s="23" t="n">
        <x:v>169900</x:v>
      </x:c>
      <x:c r="F9" s="27" t="str">
        <x:f>IF(OR(C9="",D9="",D9=C9),"N/D",(E9-C9)/(D9-C9))</x:f>
        <x:v>N/D</x:v>
      </x:c>
      <x:c r="G9" s="22" t="str">
        <x:v>Estimación comercial por marca premium y aplicación; falta cotización local exacta</x:v>
      </x:c>
      <x:c r="H9" s="22" t="str">
        <x:v>https://www.mann-filter.com/mx-es/catalogo/resultados-de-la-busqueda/producto.html/c22024_mann-filter.html</x:v>
      </x:c>
      <x:c r="I9" s="22" t="str">
        <x:v>Validar costo/IVA/inventario antes de publicar compra</x:v>
      </x:c>
    </x:row>
    <x:row r="10">
      <x:c r="A10" s="22" t="str">
        <x:v>HU 7002 z</x:v>
      </x:c>
      <x:c r="B10" s="22" t="str">
        <x:v>Filtros</x:v>
      </x:c>
      <x:c r="C10" s="23"/>
      <x:c r="D10" s="23"/>
      <x:c r="E10" s="23" t="n">
        <x:v>129900</x:v>
      </x:c>
      <x:c r="F10" s="27" t="str">
        <x:f>IF(OR(C10="",D10="",D10=C10),"N/D",(E10-C10)/(D10-C10))</x:f>
        <x:v>N/D</x:v>
      </x:c>
      <x:c r="G10" s="22" t="str">
        <x:v>Estimación comercial por marca premium y aplicación; falta cotización local exacta</x:v>
      </x:c>
      <x:c r="H10" s="22" t="str">
        <x:v>https://www.mann-filter.com/es/catalogo/resultados-de-busqueda/producto.html/hu7002z_mann-filter.html</x:v>
      </x:c>
      <x:c r="I10" s="22" t="str">
        <x:v>Validar costo/IVA/inventario antes de publicar compra</x:v>
      </x:c>
    </x:row>
    <x:row r="11">
      <x:c r="A11" s="22" t="str">
        <x:v>PU 9008 z</x:v>
      </x:c>
      <x:c r="B11" s="22" t="str">
        <x:v>Filtros</x:v>
      </x:c>
      <x:c r="C11" s="23"/>
      <x:c r="D11" s="23"/>
      <x:c r="E11" s="23" t="n">
        <x:v>259900</x:v>
      </x:c>
      <x:c r="F11" s="27" t="str">
        <x:f>IF(OR(C11="",D11="",D11=C11),"N/D",(E11-C11)/(D11-C11))</x:f>
        <x:v>N/D</x:v>
      </x:c>
      <x:c r="G11" s="22" t="str">
        <x:v>Estimación comercial por marca premium y aplicación; falta cotización local exacta</x:v>
      </x:c>
      <x:c r="H11" s="22" t="str">
        <x:v>https://www.mann-filter.com/es/catalogo/resultados-de-busqueda/producto.html/pu9008z_mann-filter.html</x:v>
      </x:c>
      <x:c r="I11" s="22" t="str">
        <x:v>Validar costo/IVA/inventario antes de publicar compra</x:v>
      </x:c>
    </x:row>
    <x:row r="12">
      <x:c r="A12" s="22" t="str">
        <x:v>CU 24 006</x:v>
      </x:c>
      <x:c r="B12" s="22" t="str">
        <x:v>Filtros</x:v>
      </x:c>
      <x:c r="C12" s="23"/>
      <x:c r="D12" s="23"/>
      <x:c r="E12" s="23" t="n">
        <x:v>109900</x:v>
      </x:c>
      <x:c r="F12" s="27" t="str">
        <x:f>IF(OR(C12="",D12="",D12=C12),"N/D",(E12-C12)/(D12-C12))</x:f>
        <x:v>N/D</x:v>
      </x:c>
      <x:c r="G12" s="22" t="str">
        <x:v>Estimación comercial por marca premium y aplicación; falta cotización local exacta</x:v>
      </x:c>
      <x:c r="H12" s="22" t="str">
        <x:v>https://www.mann-filter.com/en/catalog/search-results/product.html/cu24006_mann-filter.html</x:v>
      </x:c>
      <x:c r="I12" s="22" t="str">
        <x:v>Validar costo/IVA/inventario antes de publicar compra</x:v>
      </x:c>
    </x:row>
    <x:row r="13">
      <x:c r="A13" s="22" t="str">
        <x:v>USA69256-A</x:v>
      </x:c>
      <x:c r="B13" s="22" t="str">
        <x:v>Suspensión</x:v>
      </x:c>
      <x:c r="C13" s="23" t="n">
        <x:v>224950</x:v>
      </x:c>
      <x:c r="D13" s="23" t="n">
        <x:v>386624</x:v>
      </x:c>
      <x:c r="E13" s="23" t="n">
        <x:v>289900</x:v>
      </x:c>
      <x:c r="F13" s="27" t="n">
        <x:f>IF(OR(C13="",D13="",D13=C13),"N/D",(E13-C13)/(D13-C13))</x:f>
        <x:v>0.40173435431794846</x:v>
      </x:c>
      <x:c r="G13" s="22" t="str">
        <x:v>Amortiguador delantero Hilux: banda por unidad derivada de pares publicados</x:v>
      </x:c>
      <x:c r="H13" s="22" t="str">
        <x:v>https://listado.mercadolibre.com.co/amortiguador-delantero-hilux</x:v>
      </x:c>
      <x:c r="I13" s="22" t="str">
        <x:v>Validar costo/IVA/inventario antes de publicar compra</x:v>
      </x:c>
    </x:row>
    <x:row r="14">
      <x:c r="A14" s="22" t="str">
        <x:v>69198-A</x:v>
      </x:c>
      <x:c r="B14" s="22" t="str">
        <x:v>Suspensión</x:v>
      </x:c>
      <x:c r="C14" s="23" t="n">
        <x:v>100800</x:v>
      </x:c>
      <x:c r="D14" s="23" t="n">
        <x:v>137934</x:v>
      </x:c>
      <x:c r="E14" s="23" t="n">
        <x:v>124900</x:v>
      </x:c>
      <x:c r="F14" s="27" t="n">
        <x:f>IF(OR(C14="",D14="",D14=C14),"N/D",(E14-C14)/(D14-C14))</x:f>
        <x:v>0.6490009156029515</x:v>
      </x:c>
      <x:c r="G14" s="22" t="str">
        <x:v>Amortiguadores Hilux publicados por unidad</x:v>
      </x:c>
      <x:c r="H14" s="22" t="str">
        <x:v>https://listado.mercadolibre.com.co/amortiguador-hilux-vigo</x:v>
      </x:c>
      <x:c r="I14" s="22" t="str">
        <x:v>Validar costo/IVA/inventario antes de publicar compra</x:v>
      </x:c>
    </x:row>
    <x:row r="15">
      <x:c r="A15" s="22" t="str">
        <x:v>USA79356-A</x:v>
      </x:c>
      <x:c r="B15" s="22" t="str">
        <x:v>Suspensión</x:v>
      </x:c>
      <x:c r="C15" s="23" t="n">
        <x:v>224950</x:v>
      </x:c>
      <x:c r="D15" s="23" t="n">
        <x:v>386624</x:v>
      </x:c>
      <x:c r="E15" s="23" t="n">
        <x:v>259900</x:v>
      </x:c>
      <x:c r="F15" s="27" t="n">
        <x:f>IF(OR(C15="",D15="",D15=C15),"N/D",(E15-C15)/(D15-C15))</x:f>
        <x:v>0.21617576109949652</x:v>
      </x:c>
      <x:c r="G15" s="22" t="str">
        <x:v>Amortiguador delantero Hilux: banda por unidad derivada de pares publicados</x:v>
      </x:c>
      <x:c r="H15" s="22" t="str">
        <x:v>https://listado.mercadolibre.com.co/amortiguador-delantero-hilux</x:v>
      </x:c>
      <x:c r="I15" s="22" t="str">
        <x:v>Validar costo/IVA/inventario antes de publicar compra</x:v>
      </x:c>
    </x:row>
    <x:row r="16">
      <x:c r="A16" s="22" t="str">
        <x:v>USA79355-A</x:v>
      </x:c>
      <x:c r="B16" s="22" t="str">
        <x:v>Suspensión</x:v>
      </x:c>
      <x:c r="C16" s="23" t="n">
        <x:v>224950</x:v>
      </x:c>
      <x:c r="D16" s="23" t="n">
        <x:v>386624</x:v>
      </x:c>
      <x:c r="E16" s="23" t="n">
        <x:v>259900</x:v>
      </x:c>
      <x:c r="F16" s="27" t="n">
        <x:f>IF(OR(C16="",D16="",D16=C16),"N/D",(E16-C16)/(D16-C16))</x:f>
        <x:v>0.21617576109949652</x:v>
      </x:c>
      <x:c r="G16" s="22" t="str">
        <x:v>Amortiguador delantero Hilux: banda por unidad derivada de pares publicados</x:v>
      </x:c>
      <x:c r="H16" s="22" t="str">
        <x:v>https://listado.mercadolibre.com.co/amortiguador-delantero-hilux</x:v>
      </x:c>
      <x:c r="I16" s="22" t="str">
        <x:v>Validar costo/IVA/inventario antes de publicar compra</x:v>
      </x:c>
    </x:row>
    <x:row r="17">
      <x:c r="A17" s="22" t="str">
        <x:v>USA72050-A</x:v>
      </x:c>
      <x:c r="B17" s="22" t="str">
        <x:v>Suspensión</x:v>
      </x:c>
      <x:c r="C17" s="23" t="n">
        <x:v>100800</x:v>
      </x:c>
      <x:c r="D17" s="23" t="n">
        <x:v>137934</x:v>
      </x:c>
      <x:c r="E17" s="23" t="n">
        <x:v>124900</x:v>
      </x:c>
      <x:c r="F17" s="27" t="n">
        <x:f>IF(OR(C17="",D17="",D17=C17),"N/D",(E17-C17)/(D17-C17))</x:f>
        <x:v>0.6490009156029515</x:v>
      </x:c>
      <x:c r="G17" s="22" t="str">
        <x:v>Amortiguadores Hilux publicados por unidad</x:v>
      </x:c>
      <x:c r="H17" s="22" t="str">
        <x:v>https://listado.mercadolibre.com.co/amortiguador-hilux-vigo</x:v>
      </x:c>
      <x:c r="I17" s="22" t="str">
        <x:v>Validar costo/IVA/inventario antes de publicar compra</x:v>
      </x:c>
    </x:row>
    <x:row r="18">
      <x:c r="A18" s="22" t="str">
        <x:v>USA79313-A</x:v>
      </x:c>
      <x:c r="B18" s="22" t="str">
        <x:v>Suspensión</x:v>
      </x:c>
      <x:c r="C18" s="23" t="n">
        <x:v>290000</x:v>
      </x:c>
      <x:c r="D18" s="23" t="n">
        <x:v>340000</x:v>
      </x:c>
      <x:c r="E18" s="23" t="n">
        <x:v>289900</x:v>
      </x:c>
      <x:c r="F18" s="27" t="n">
        <x:f>IF(OR(C18="",D18="",D18=C18),"N/D",(E18-C18)/(D18-C18))</x:f>
        <x:v>-0.002</x:v>
      </x:c>
      <x:c r="G18" s="22" t="str">
        <x:v>Gabriel delantero Amarok: par publicado desde $580.000</x:v>
      </x:c>
      <x:c r="H18" s="22" t="str">
        <x:v>https://listado.mercadolibre.com.co/amortiguador-delantero-amarok-gabriel</x:v>
      </x:c>
      <x:c r="I18" s="22" t="str">
        <x:v>Validar costo/IVA/inventario antes de publicar compra</x:v>
      </x:c>
    </x:row>
    <x:row r="19">
      <x:c r="A19" s="22" t="str">
        <x:v>USA69765-A</x:v>
      </x:c>
      <x:c r="B19" s="22" t="str">
        <x:v>Suspensión</x:v>
      </x:c>
      <x:c r="C19" s="23" t="n">
        <x:v>149900</x:v>
      </x:c>
      <x:c r="D19" s="23" t="n">
        <x:v>155000</x:v>
      </x:c>
      <x:c r="E19" s="23" t="n">
        <x:v>149900</x:v>
      </x:c>
      <x:c r="F19" s="27" t="n">
        <x:f>IF(OR(C19="",D19="",D19=C19),"N/D",(E19-C19)/(D19-C19))</x:f>
        <x:v>0</x:v>
      </x:c>
      <x:c r="G19" s="22" t="str">
        <x:v>Gabriel trasero Amarok: par publicado alrededor de $310.000</x:v>
      </x:c>
      <x:c r="H19" s="22" t="str">
        <x:v>https://listado.mercadolibre.com.co/amortiguador-trasero-amarok-gabriel</x:v>
      </x:c>
      <x:c r="I19" s="22" t="str">
        <x:v>Validar costo/IVA/inventario antes de publicar compra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62350a10ed242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6.37999725341797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2" customHeight="1">
      <x:c r="A1" s="3" t="str">
        <x:v>Brechas y siguiente ola de investigación</x:v>
      </x:c>
      <x:c r="B1" s="3" t="str">
        <x:v>Brechas y siguiente ola de investigación</x:v>
      </x:c>
      <x:c r="C1" s="3" t="str">
        <x:v>Brechas y siguiente ola de investigación</x:v>
      </x:c>
      <x:c r="D1" s="3" t="str">
        <x:v>Brechas y siguiente ola de investigación</x:v>
      </x:c>
      <x:c r="E1" s="3" t="str">
        <x:v>Brechas y siguiente ola de investigación</x:v>
      </x:c>
      <x:c r="F1" s="3" t="str">
        <x:v>Brechas y siguiente ola de investigación</x:v>
      </x:c>
      <x:c r="G1" s="3" t="str">
        <x:v>Brechas y siguiente ola de investigación</x:v>
      </x:c>
      <x:c r="H1" s="3" t="str">
        <x:v>Brechas y siguiente ola de investigación</x:v>
      </x:c>
    </x:row>
    <x:row r="2" ht="30" customHeight="1">
      <x:c r="A2" s="6" t="str">
        <x:v>La fase inicial cubre Hilux/Fortuner, Ranger/BT-50 y parte de Amarok. Estas familias siguen pendientes para ampliar cobertura del parque diésel colombiano.</x:v>
      </x:c>
      <x:c r="B2" s="6" t="str">
        <x:v>La fase inicial cubre Hilux/Fortuner, Ranger/BT-50 y parte de Amarok. Estas familias siguen pendientes para ampliar cobertura del parque diésel colombiano.</x:v>
      </x:c>
      <x:c r="C2" s="6" t="str">
        <x:v>La fase inicial cubre Hilux/Fortuner, Ranger/BT-50 y parte de Amarok. Estas familias siguen pendientes para ampliar cobertura del parque diésel colombiano.</x:v>
      </x:c>
      <x:c r="D2" s="6" t="str">
        <x:v>La fase inicial cubre Hilux/Fortuner, Ranger/BT-50 y parte de Amarok. Estas familias siguen pendientes para ampliar cobertura del parque diésel colombiano.</x:v>
      </x:c>
      <x:c r="E2" s="6" t="str">
        <x:v>La fase inicial cubre Hilux/Fortuner, Ranger/BT-50 y parte de Amarok. Estas familias siguen pendientes para ampliar cobertura del parque diésel colombiano.</x:v>
      </x:c>
      <x:c r="F2" s="6" t="str">
        <x:v>La fase inicial cubre Hilux/Fortuner, Ranger/BT-50 y parte de Amarok. Estas familias siguen pendientes para ampliar cobertura del parque diésel colombiano.</x:v>
      </x:c>
      <x:c r="G2" s="6" t="str">
        <x:v>La fase inicial cubre Hilux/Fortuner, Ranger/BT-50 y parte de Amarok. Estas familias siguen pendientes para ampliar cobertura del parque diésel colombiano.</x:v>
      </x:c>
      <x:c r="H2" s="6" t="str">
        <x:v>La fase inicial cubre Hilux/Fortuner, Ranger/BT-50 y parte de Amarok. Estas familias siguen pendientes para ampliar cobertura del parque diésel colombiano.</x:v>
      </x:c>
    </x:row>
    <x:row r="4">
      <x:c r="A4" s="17" t="str">
        <x:v>Prioridad</x:v>
      </x:c>
      <x:c r="B4" s="17" t="str">
        <x:v>Vehículo / familia</x:v>
      </x:c>
      <x:c r="C4" s="17" t="str">
        <x:v>Filtros</x:v>
      </x:c>
      <x:c r="D4" s="17" t="str">
        <x:v>Suspensión</x:v>
      </x:c>
      <x:c r="E4" s="17" t="str">
        <x:v>Estado</x:v>
      </x:c>
      <x:c r="F4" s="17" t="str">
        <x:v>Siguiente acción</x:v>
      </x:c>
      <x:c r="G4" s="17" t="str">
        <x:v>Riesgo de compatibilidad</x:v>
      </x:c>
      <x:c r="H4" s="17" t="str">
        <x:v>Observación</x:v>
      </x:c>
    </x:row>
    <x:row r="5">
      <x:c r="A5" s="22" t="str">
        <x:v>Alta</x:v>
      </x:c>
      <x:c r="B5" s="22" t="str">
        <x:v>Chevrolet D-Max / Colorado / Trailblazer 2.5–2.8 diésel</x:v>
      </x:c>
      <x:c r="C5" s="22" t="str">
        <x:v>Pendiente</x:v>
      </x:c>
      <x:c r="D5" s="22" t="str">
        <x:v>Pendiente</x:v>
      </x:c>
      <x:c r="E5" s="22" t="str">
        <x:v>Investigar</x:v>
      </x:c>
      <x:c r="F5" s="22" t="str">
        <x:v>Cruzar VIN, motor y año con fabricante</x:v>
      </x:c>
      <x:c r="G5" s="22" t="str">
        <x:v>Alto</x:v>
      </x:c>
      <x:c r="H5" s="22" t="str">
        <x:v>Múltiples generaciones y motores Isuzu/GM</x:v>
      </x:c>
    </x:row>
    <x:row r="6">
      <x:c r="A6" s="22" t="str">
        <x:v>Alta</x:v>
      </x:c>
      <x:c r="B6" s="22" t="str">
        <x:v>Nissan Frontier / NP300 2.3–2.5 dCi</x:v>
      </x:c>
      <x:c r="C6" s="22" t="str">
        <x:v>Pendiente</x:v>
      </x:c>
      <x:c r="D6" s="22" t="str">
        <x:v>Pendiente</x:v>
      </x:c>
      <x:c r="E6" s="22" t="str">
        <x:v>Investigar</x:v>
      </x:c>
      <x:c r="F6" s="22" t="str">
        <x:v>Separar D40, D23 y mercado colombiano</x:v>
      </x:c>
      <x:c r="G6" s="22" t="str">
        <x:v>Alto</x:v>
      </x:c>
      <x:c r="H6" s="22" t="str">
        <x:v>No mezclar NP300 mexicana con Navara europea</x:v>
      </x:c>
    </x:row>
    <x:row r="7">
      <x:c r="A7" s="22" t="str">
        <x:v>Alta</x:v>
      </x:c>
      <x:c r="B7" s="22" t="str">
        <x:v>Mitsubishi L200 / Montero Sport 2.4 DI-D</x:v>
      </x:c>
      <x:c r="C7" s="22" t="str">
        <x:v>Pendiente</x:v>
      </x:c>
      <x:c r="D7" s="22" t="str">
        <x:v>Pendiente</x:v>
      </x:c>
      <x:c r="E7" s="22" t="str">
        <x:v>Investigar</x:v>
      </x:c>
      <x:c r="F7" s="22" t="str">
        <x:v>Confirmar 4N15, tracción y carrocería</x:v>
      </x:c>
      <x:c r="G7" s="22" t="str">
        <x:v>Alto</x:v>
      </x:c>
      <x:c r="H7" s="22" t="str">
        <x:v>Aplicaciones cambian por región</x:v>
      </x:c>
    </x:row>
    <x:row r="8">
      <x:c r="A8" s="22" t="str">
        <x:v>Alta</x:v>
      </x:c>
      <x:c r="B8" s="22" t="str">
        <x:v>Volkswagen Amarok 2.0 / 3.0 V6</x:v>
      </x:c>
      <x:c r="C8" s="22" t="str">
        <x:v>Pendiente</x:v>
      </x:c>
      <x:c r="D8" s="22" t="str">
        <x:v>Parcial</x:v>
      </x:c>
      <x:c r="E8" s="22" t="str">
        <x:v>Investigar</x:v>
      </x:c>
      <x:c r="F8" s="22" t="str">
        <x:v>Completar filtros y generación V6</x:v>
      </x:c>
      <x:c r="G8" s="22" t="str">
        <x:v>Alto</x:v>
      </x:c>
      <x:c r="H8" s="22" t="str">
        <x:v>Amarok II comparte plataforma con Ranger</x:v>
      </x:c>
    </x:row>
    <x:row r="9">
      <x:c r="A9" s="22" t="str">
        <x:v>Media</x:v>
      </x:c>
      <x:c r="B9" s="22" t="str">
        <x:v>Hyundai Santa Fe 2.2 CRDi</x:v>
      </x:c>
      <x:c r="C9" s="22" t="str">
        <x:v>Pendiente</x:v>
      </x:c>
      <x:c r="D9" s="22" t="str">
        <x:v>Pendiente</x:v>
      </x:c>
      <x:c r="E9" s="22" t="str">
        <x:v>Investigar</x:v>
      </x:c>
      <x:c r="F9" s="22" t="str">
        <x:v>Separar generaciones DM/TM</x:v>
      </x:c>
      <x:c r="G9" s="22" t="str">
        <x:v>Medio</x:v>
      </x:c>
      <x:c r="H9" s="22" t="str">
        <x:v>SUV diésel de circulación relevante</x:v>
      </x:c>
    </x:row>
    <x:row r="10">
      <x:c r="A10" s="22" t="str">
        <x:v>Media</x:v>
      </x:c>
      <x:c r="B10" s="22" t="str">
        <x:v>Kia Sorento 2.2 CRDi</x:v>
      </x:c>
      <x:c r="C10" s="22" t="str">
        <x:v>Pendiente</x:v>
      </x:c>
      <x:c r="D10" s="22" t="str">
        <x:v>Pendiente</x:v>
      </x:c>
      <x:c r="E10" s="22" t="str">
        <x:v>Investigar</x:v>
      </x:c>
      <x:c r="F10" s="22" t="str">
        <x:v>Separar XM/UM/MQ4</x:v>
      </x:c>
      <x:c r="G10" s="22" t="str">
        <x:v>Medio</x:v>
      </x:c>
      <x:c r="H10" s="22" t="str">
        <x:v>Compartidos Hyundai/Kia no siempre equivalentes</x:v>
      </x:c>
    </x:row>
    <x:row r="11">
      <x:c r="A11" s="22" t="str">
        <x:v>Media</x:v>
      </x:c>
      <x:c r="B11" s="22" t="str">
        <x:v>Toyota Prado 3.0 / 2.8 diésel</x:v>
      </x:c>
      <x:c r="C11" s="22" t="str">
        <x:v>Pendiente</x:v>
      </x:c>
      <x:c r="D11" s="22" t="str">
        <x:v>Pendiente</x:v>
      </x:c>
      <x:c r="E11" s="22" t="str">
        <x:v>Investigar</x:v>
      </x:c>
      <x:c r="F11" s="22" t="str">
        <x:v>Distinguir 1KD y 1GD</x:v>
      </x:c>
      <x:c r="G11" s="22" t="str">
        <x:v>Alto</x:v>
      </x:c>
      <x:c r="H11" s="22" t="str">
        <x:v>Demanda alta; costo de error elevado</x:v>
      </x:c>
    </x:row>
    <x:row r="12">
      <x:c r="A12" s="22" t="str">
        <x:v>Media</x:v>
      </x:c>
      <x:c r="B12" s="22" t="str">
        <x:v>Ford Ranger 2.0 EcoBlue / Ranger 2023+</x:v>
      </x:c>
      <x:c r="C12" s="22" t="str">
        <x:v>Parcial</x:v>
      </x:c>
      <x:c r="D12" s="22" t="str">
        <x:v>Pendiente</x:v>
      </x:c>
      <x:c r="E12" s="22" t="str">
        <x:v>Investigar</x:v>
      </x:c>
      <x:c r="F12" s="22" t="str">
        <x:v>Separar T6 de nueva generación</x:v>
      </x:c>
      <x:c r="G12" s="22" t="str">
        <x:v>Alto</x:v>
      </x:c>
      <x:c r="H12" s="22" t="str">
        <x:v>No reutilizar automáticamente referencias 2.2/3.2</x:v>
      </x:c>
    </x:row>
  </x:sheetData>
  <x:mergeCells>
    <x:mergeCell ref="A1:H1"/>
    <x:mergeCell ref="A2:H2"/>
  </x:mergeCells>
  <x:conditionalFormatting sqref="A5:A12">
    <x:cfRule type="containsText" dxfId="2" priority="1" operator="containsText" text="Alta"/>
  </x:conditionalFormatting>
  <x:pageMargins left="0.7" right="0.7" top="0.75" bottom="0.75" header="0.3" footer="0.3"/>
  <x:tableParts count="1">
    <x:tablePart xmlns:r="http://schemas.openxmlformats.org/officeDocument/2006/relationships" r:id="R0921e1da642144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  <x:col min="2" max="2" width="90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32" customHeight="1">
      <x:c r="A1" s="3" t="str">
        <x:v>Fuentes y trazabilidad</x:v>
      </x:c>
      <x:c r="B1" s="3" t="str">
        <x:v>Fuentes y trazabilidad</x:v>
      </x:c>
      <x:c r="C1" s="3" t="str">
        <x:v>Fuentes y trazabilidad</x:v>
      </x:c>
      <x:c r="D1" s="3" t="str">
        <x:v>Fuentes y trazabilidad</x:v>
      </x:c>
      <x:c r="E1" s="3" t="str">
        <x:v>Fuentes y trazabilidad</x:v>
      </x:c>
      <x:c r="F1" s="3" t="str">
        <x:v>Fuentes y trazabilidad</x:v>
      </x:c>
    </x:row>
    <x:row r="2" ht="30" customHeight="1">
      <x:c r="A2" s="6" t="str">
        <x:v>Se priorizaron catálogos oficiales para compatibilidad y ficha técnica; los precios de mercado se identifican por separado.</x:v>
      </x:c>
      <x:c r="B2" s="6" t="str">
        <x:v>Se priorizaron catálogos oficiales para compatibilidad y ficha técnica; los precios de mercado se identifican por separado.</x:v>
      </x:c>
      <x:c r="C2" s="6" t="str">
        <x:v>Se priorizaron catálogos oficiales para compatibilidad y ficha técnica; los precios de mercado se identifican por separado.</x:v>
      </x:c>
      <x:c r="D2" s="6" t="str">
        <x:v>Se priorizaron catálogos oficiales para compatibilidad y ficha técnica; los precios de mercado se identifican por separado.</x:v>
      </x:c>
      <x:c r="E2" s="6" t="str">
        <x:v>Se priorizaron catálogos oficiales para compatibilidad y ficha técnica; los precios de mercado se identifican por separado.</x:v>
      </x:c>
      <x:c r="F2" s="6" t="str">
        <x:v>Se priorizaron catálogos oficiales para compatibilidad y ficha técnica; los precios de mercado se identifican por separado.</x:v>
      </x:c>
    </x:row>
    <x:row r="4">
      <x:c r="A4" s="17" t="str">
        <x:v>Tipo</x:v>
      </x:c>
      <x:c r="B4" s="17" t="str">
        <x:v>Organización</x:v>
      </x:c>
      <x:c r="C4" s="17" t="str">
        <x:v>Cobertura</x:v>
      </x:c>
      <x:c r="D4" s="17" t="str">
        <x:v>URL</x:v>
      </x:c>
      <x:c r="E4" s="17" t="str">
        <x:v>Consulta</x:v>
      </x:c>
      <x:c r="F4" s="17" t="str">
        <x:v>Uso permitido en este paquete</x:v>
      </x:c>
    </x:row>
    <x:row r="5">
      <x:c r="A5" s="22" t="str">
        <x:v>Fabricante</x:v>
      </x:c>
      <x:c r="B5" s="22" t="str">
        <x:v>MANN-FILTER</x:v>
      </x:c>
      <x:c r="C5" s="22" t="str">
        <x:v>Guía pickups y comerciales ligeros</x:v>
      </x:c>
      <x:c r="D5" s="22" t="str">
        <x:v>https://www.mann-filter.com/content/dam/website/mann-filter/mann-filter-com/australia/download-hub/document/Mann_Filter_Utes_LCV_Guide.pdf</x:v>
      </x:c>
      <x:c r="E5" s="22" t="str">
        <x:v>2026-08-12</x:v>
      </x:c>
      <x:c r="F5" s="22" t="str">
        <x:v>Referencia, aplicación y OE</x:v>
      </x:c>
    </x:row>
    <x:row r="6">
      <x:c r="A6" s="22" t="str">
        <x:v>Fabricante</x:v>
      </x:c>
      <x:c r="B6" s="22" t="str">
        <x:v>MANN-FILTER</x:v>
      </x:c>
      <x:c r="C6" s="22" t="str">
        <x:v>Páginas oficiales de las 8 referencias</x:v>
      </x:c>
      <x:c r="D6" s="22" t="str">
        <x:v>Ver columna Fuente técnica en Referencias</x:v>
      </x:c>
      <x:c r="E6" s="22" t="str">
        <x:v>2026-08-12</x:v>
      </x:c>
      <x:c r="F6" s="22" t="str">
        <x:v>Dimensiones, GTIN, OE, aplicación e imagen</x:v>
      </x:c>
    </x:row>
    <x:row r="7">
      <x:c r="A7" s="22" t="str">
        <x:v>Fabricante</x:v>
      </x:c>
      <x:c r="B7" s="22" t="str">
        <x:v>Gabriel México</x:v>
      </x:c>
      <x:c r="C7" s="22" t="str">
        <x:v>Catálogo Servicio Ligero 2026</x:v>
      </x:c>
      <x:c r="D7" s="22" t="str">
        <x:v>https://www.gabriel.com.mx/fileadmin/gabrielmexico/img/doc/CATALOGO_SL_2026_FINAL_DIGITAL_1.pdf</x:v>
      </x:c>
      <x:c r="E7" s="22" t="str">
        <x:v>2026-08-12</x:v>
      </x:c>
      <x:c r="F7" s="22" t="str">
        <x:v>Referencia, posición, tipo y cobertura</x:v>
      </x:c>
    </x:row>
    <x:row r="8">
      <x:c r="A8" s="22" t="str">
        <x:v>Distribuidor</x:v>
      </x:c>
      <x:c r="B8" s="22" t="str">
        <x:v>Mi Autoparte</x:v>
      </x:c>
      <x:c r="C8" s="22" t="str">
        <x:v>Imágenes exactas Gabriel seleccionadas</x:v>
      </x:c>
      <x:c r="D8" s="22" t="str">
        <x:v>https://miautoparte.com/</x:v>
      </x:c>
      <x:c r="E8" s="22" t="str">
        <x:v>2026-08-12</x:v>
      </x:c>
      <x:c r="F8" s="22" t="str">
        <x:v>Imagen y, cuando aparece, medidas/código de barras</x:v>
      </x:c>
    </x:row>
    <x:row r="9">
      <x:c r="A9" s="22" t="str">
        <x:v>Mercado</x:v>
      </x:c>
      <x:c r="B9" s="22" t="str">
        <x:v>Mercado Libre Colombia</x:v>
      </x:c>
      <x:c r="C9" s="22" t="str">
        <x:v>Bandas visibles de filtros y suspensión</x:v>
      </x:c>
      <x:c r="D9" s="22" t="str">
        <x:v>https://www.mercadolibre.com.co/</x:v>
      </x:c>
      <x:c r="E9" s="22" t="str">
        <x:v>2026-08-12</x:v>
      </x:c>
      <x:c r="F9" s="22" t="str">
        <x:v>Comparación comercial; no confirma compatibilidad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8.75" hidden="0" customWidth="1"/>
    <x:col min="2" max="2" width="108.75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2" customHeight="1">
      <x:c r="A1" s="3" t="str">
        <x:v>Diccionario de metadata de imágenes</x:v>
      </x:c>
      <x:c r="B1" s="3" t="str">
        <x:v>Diccionario de metadata de imágenes</x:v>
      </x:c>
      <x:c r="C1" s="3" t="str">
        <x:v>Diccionario de metadata de imágenes</x:v>
      </x:c>
      <x:c r="D1" s="3" t="str">
        <x:v>Diccionario de metadata de imágenes</x:v>
      </x:c>
      <x:c r="E1" s="3" t="str">
        <x:v>Diccionario de metadata de imágenes</x:v>
      </x:c>
      <x:c r="F1" s="3" t="str">
        <x:v>Diccionario de metadata de imágenes</x:v>
      </x:c>
    </x:row>
    <x:row r="2" ht="30" customHeight="1">
      <x:c r="A2" s="6" t="str">
        <x:v>Cada JPG incluye EXIF y un sidecar JSON con estos campos, para que Antigravity pueda identificar y asociar el producto sin inferir desde la imagen.</x:v>
      </x:c>
      <x:c r="B2" s="6" t="str">
        <x:v>Cada JPG incluye EXIF y un sidecar JSON con estos campos, para que Antigravity pueda identificar y asociar el producto sin inferir desde la imagen.</x:v>
      </x:c>
      <x:c r="C2" s="6" t="str">
        <x:v>Cada JPG incluye EXIF y un sidecar JSON con estos campos, para que Antigravity pueda identificar y asociar el producto sin inferir desde la imagen.</x:v>
      </x:c>
      <x:c r="D2" s="6" t="str">
        <x:v>Cada JPG incluye EXIF y un sidecar JSON con estos campos, para que Antigravity pueda identificar y asociar el producto sin inferir desde la imagen.</x:v>
      </x:c>
      <x:c r="E2" s="6" t="str">
        <x:v>Cada JPG incluye EXIF y un sidecar JSON con estos campos, para que Antigravity pueda identificar y asociar el producto sin inferir desde la imagen.</x:v>
      </x:c>
      <x:c r="F2" s="6" t="str">
        <x:v>Cada JPG incluye EXIF y un sidecar JSON con estos campos, para que Antigravity pueda identificar y asociar el producto sin inferir desde la imagen.</x:v>
      </x:c>
    </x:row>
    <x:row r="4">
      <x:c r="A4" s="17" t="str">
        <x:v>Campo</x:v>
      </x:c>
      <x:c r="B4" s="17" t="str">
        <x:v>Obligatorio</x:v>
      </x:c>
      <x:c r="C4" s="17" t="str">
        <x:v>Ejemplo</x:v>
      </x:c>
      <x:c r="D4" s="17" t="str">
        <x:v>Descripción</x:v>
      </x:c>
      <x:c r="E4" s="17" t="str">
        <x:v>Origen</x:v>
      </x:c>
      <x:c r="F4" s="17" t="str">
        <x:v>Regla</x:v>
      </x:c>
    </x:row>
    <x:row r="5">
      <x:c r="A5" s="22" t="str">
        <x:v>product_name</x:v>
      </x:c>
      <x:c r="B5" s="22" t="str">
        <x:v>Sí</x:v>
      </x:c>
      <x:c r="C5" s="22" t="str">
        <x:v>Filtro de aire MANN-FILTER C 33 017</x:v>
      </x:c>
      <x:c r="D5" s="22" t="str">
        <x:v>Nombre comercial</x:v>
      </x:c>
      <x:c r="E5" s="22" t="str">
        <x:v>Manifest</x:v>
      </x:c>
      <x:c r="F5" s="22" t="str">
        <x:v>No inventar</x:v>
      </x:c>
    </x:row>
    <x:row r="6">
      <x:c r="A6" s="22" t="str">
        <x:v>reference</x:v>
      </x:c>
      <x:c r="B6" s="22" t="str">
        <x:v>Sí</x:v>
      </x:c>
      <x:c r="C6" s="22" t="str">
        <x:v>C 33 017</x:v>
      </x:c>
      <x:c r="D6" s="22" t="str">
        <x:v>Referencia exacta del fabricante</x:v>
      </x:c>
      <x:c r="E6" s="22" t="str">
        <x:v>Fabricante</x:v>
      </x:c>
      <x:c r="F6" s="22" t="str">
        <x:v>Conservar espacios y guiones</x:v>
      </x:c>
    </x:row>
    <x:row r="7">
      <x:c r="A7" s="22" t="str">
        <x:v>vehicle_fitment</x:v>
      </x:c>
      <x:c r="B7" s="22" t="str">
        <x:v>Sí</x:v>
      </x:c>
      <x:c r="C7" s="22" t="str">
        <x:v>Toyota Hilux 2.8 1GD-FTV (2015+)</x:v>
      </x:c>
      <x:c r="D7" s="22" t="str">
        <x:v>Aplicación resumida</x:v>
      </x:c>
      <x:c r="E7" s="22" t="str">
        <x:v>Fabricante</x:v>
      </x:c>
      <x:c r="F7" s="22" t="str">
        <x:v>Confirmar VIN antes de venta</x:v>
      </x:c>
    </x:row>
    <x:row r="8">
      <x:c r="A8" s="22" t="str">
        <x:v>specifications</x:v>
      </x:c>
      <x:c r="B8" s="22" t="str">
        <x:v>Sí</x:v>
      </x:c>
      <x:c r="C8" s="22" t="str">
        <x:v>323 × 240 × 58 mm</x:v>
      </x:c>
      <x:c r="D8" s="22" t="str">
        <x:v>Ficha técnica estructurada</x:v>
      </x:c>
      <x:c r="E8" s="22" t="str">
        <x:v>Fabricante</x:v>
      </x:c>
      <x:c r="F8" s="22" t="str">
        <x:v>Usar unidades explícitas</x:v>
      </x:c>
    </x:row>
    <x:row r="9">
      <x:c r="A9" s="22" t="str">
        <x:v>price_cop</x:v>
      </x:c>
      <x:c r="B9" s="22" t="str">
        <x:v>Sí</x:v>
      </x:c>
      <x:c r="C9" s="22" t="str">
        <x:v>149900</x:v>
      </x:c>
      <x:c r="D9" s="22" t="str">
        <x:v>Precio sugerido</x:v>
      </x:c>
      <x:c r="E9" s="22" t="str">
        <x:v>Análisis comercial</x:v>
      </x:c>
      <x:c r="F9" s="22" t="str">
        <x:v>No es cotización</x:v>
      </x:c>
    </x:row>
    <x:row r="10">
      <x:c r="A10" s="22" t="str">
        <x:v>source_image_url</x:v>
      </x:c>
      <x:c r="B10" s="22" t="str">
        <x:v>Sí si hay foto</x:v>
      </x:c>
      <x:c r="C10" s="22" t="str">
        <x:v>https://…</x:v>
      </x:c>
      <x:c r="D10" s="22" t="str">
        <x:v>Procedencia de la foto</x:v>
      </x:c>
      <x:c r="E10" s="22" t="str">
        <x:v>Fabricante/distribuidor</x:v>
      </x:c>
      <x:c r="F10" s="22" t="str">
        <x:v>Mantener trazabilidad</x:v>
      </x:c>
    </x:row>
    <x:row r="11">
      <x:c r="A11" s="22" t="str">
        <x:v>image_exact</x:v>
      </x:c>
      <x:c r="B11" s="22" t="str">
        <x:v>Sí</x:v>
      </x:c>
      <x:c r="C11" s="22" t="str">
        <x:v>true</x:v>
      </x:c>
      <x:c r="D11" s="22" t="str">
        <x:v>Indica si la foto corresponde a la referencia</x:v>
      </x:c>
      <x:c r="E11" s="22" t="str">
        <x:v>Validación visual</x:v>
      </x:c>
      <x:c r="F11" s="22" t="str">
        <x:v>No publicar como exacta si es genérica</x:v>
      </x:c>
    </x:row>
    <x:row r="12">
      <x:c r="A12" s="22" t="str">
        <x:v>retrieved_at</x:v>
      </x:c>
      <x:c r="B12" s="22" t="str">
        <x:v>Sí</x:v>
      </x:c>
      <x:c r="C12" s="22" t="str">
        <x:v>2026-08-12</x:v>
      </x:c>
      <x:c r="D12" s="22" t="str">
        <x:v>Fecha de captura</x:v>
      </x:c>
      <x:c r="E12" s="22" t="str">
        <x:v>Proceso</x:v>
      </x:c>
      <x:c r="F12" s="22" t="str">
        <x:v>ISO 8601</x:v>
      </x:c>
    </x:row>
    <x:row r="13">
      <x:c r="A13" s="22" t="str">
        <x:v>copyright_notice</x:v>
      </x:c>
      <x:c r="B13" s="22" t="str">
        <x:v>Sí</x:v>
      </x:c>
      <x:c r="C13" s="22" t="str">
        <x:v>Revisar autorización comercial</x:v>
      </x:c>
      <x:c r="D13" s="22" t="str">
        <x:v>Alerta de derechos de uso</x:v>
      </x:c>
      <x:c r="E13" s="22" t="str">
        <x:v>Proceso</x:v>
      </x:c>
      <x:c r="F13" s="22" t="str">
        <x:v>No elimina derechos de terceros</x:v>
      </x:c>
    </x:row>
  </x:sheetData>
  <x:mergeCells>
    <x:mergeCell ref="A1:F1"/>
    <x:mergeCell ref="A2:F2"/>
  </x:mergeCells>
  <x:pageMargins left="0.7" right="0.7" top="0.75" bottom="0.75" header="0.3" footer="0.3"/>
</x:worksheet>
</file>